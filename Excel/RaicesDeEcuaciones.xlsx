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13_ncr:1_{30E01DD9-77B3-494C-9F22-9CD4130D52C2}" xr6:coauthVersionLast="47" xr6:coauthVersionMax="47" xr10:uidLastSave="{00000000-0000-0000-0000-000000000000}"/>
  <bookViews>
    <workbookView xWindow="-120" yWindow="-120" windowWidth="20730" windowHeight="11040" activeTab="3" xr2:uid="{8336D048-A4A5-4B40-A38E-96E8F0865588}"/>
  </bookViews>
  <sheets>
    <sheet name="ECUACION1" sheetId="1" r:id="rId1"/>
    <sheet name="ECUACION2" sheetId="2" r:id="rId2"/>
    <sheet name="ECUACION3" sheetId="3" r:id="rId3"/>
    <sheet name="ECUACION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B50" i="1"/>
  <c r="B51" i="1" s="1"/>
  <c r="B52" i="1" s="1"/>
  <c r="B53" i="1" s="1"/>
  <c r="E49" i="1"/>
  <c r="D49" i="1"/>
  <c r="C19" i="4" l="1"/>
  <c r="F49" i="1"/>
  <c r="G49" i="1"/>
  <c r="C50" i="1"/>
  <c r="E50" i="1" l="1"/>
  <c r="D50" i="1"/>
  <c r="F50" i="1" s="1"/>
  <c r="C51" i="1" l="1"/>
  <c r="G50" i="1"/>
  <c r="D51" i="1" l="1"/>
  <c r="E51" i="1"/>
  <c r="F51" i="1" l="1"/>
  <c r="G51" i="1"/>
  <c r="C52" i="1"/>
  <c r="E52" i="1" l="1"/>
  <c r="D52" i="1"/>
  <c r="F52" i="1" s="1"/>
  <c r="C53" i="1" l="1"/>
  <c r="G52" i="1"/>
  <c r="E53" i="1" l="1"/>
  <c r="D53" i="1"/>
  <c r="F53" i="1" s="1"/>
  <c r="G53" i="1" s="1"/>
</calcChain>
</file>

<file path=xl/sharedStrings.xml><?xml version="1.0" encoding="utf-8"?>
<sst xmlns="http://schemas.openxmlformats.org/spreadsheetml/2006/main" count="144" uniqueCount="60">
  <si>
    <t>Ecuación: x³ - e⁰·⁸ˣ = 20</t>
  </si>
  <si>
    <t>Intervalo inicial: [3, 4]</t>
  </si>
  <si>
    <t>Tolerancia: 0.000001</t>
  </si>
  <si>
    <t>Iteración</t>
  </si>
  <si>
    <t>a</t>
  </si>
  <si>
    <t>b</t>
  </si>
  <si>
    <t>f(a)</t>
  </si>
  <si>
    <t>f(b)</t>
  </si>
  <si>
    <t>c=(a+b)/2</t>
  </si>
  <si>
    <t>f( c)</t>
  </si>
  <si>
    <t>Error= |b-a|</t>
  </si>
  <si>
    <t>Punto inicial: x₀ = 3,5</t>
  </si>
  <si>
    <t>Tolerancia: 0,000001</t>
  </si>
  <si>
    <t>Derivada: f'(x) = 3x² - 0,8*e⁰·⁸ˣ</t>
  </si>
  <si>
    <t>xₙ</t>
  </si>
  <si>
    <t>f(xₙ)</t>
  </si>
  <si>
    <t>f'(xₙ)</t>
  </si>
  <si>
    <t>xₙ₊₁ = xₙ - f(xₙ)/f'(xₙ)</t>
  </si>
  <si>
    <t>Error = |xₙ₊₁ - xₙ|</t>
  </si>
  <si>
    <t>Puntos iniciales: x₀ = 3, x₁ = 4</t>
  </si>
  <si>
    <t>xₙ₋₁</t>
  </si>
  <si>
    <t>f(xₙ₋₁)</t>
  </si>
  <si>
    <t>xₙ₊₁ = xₙ - f(xₙ)*(xₙ - xₙ₋₁)/(f(xₙ) - f(xₙ₋₁))</t>
  </si>
  <si>
    <t>MÉTODO DE BISECCIÓN - ECUACIÓN 2</t>
  </si>
  <si>
    <t>Ecuación: 3·sin(0,5x) - 0,5x + 2 = 0</t>
  </si>
  <si>
    <t>Intervalo inicial: [5, 6]"  (basado en tu análisis gráfico)</t>
  </si>
  <si>
    <t>NEWTON-RAPHSON - ECUACIÓN 2</t>
  </si>
  <si>
    <t>Ecuación: 3·seno(0,5x) - 0,5x + 2 = 0</t>
  </si>
  <si>
    <t>Derivada: f'(x) = 1,5·cos(0,5x) - 0,5</t>
  </si>
  <si>
    <t>Punto inicial: x₀ = 5</t>
  </si>
  <si>
    <t>MÉTODO DE LA SECANTE - ECUACIÓN 2</t>
  </si>
  <si>
    <t>Puntos iniciales: x₀ = 5, x₁ = 6</t>
  </si>
  <si>
    <t>x</t>
  </si>
  <si>
    <t>f(x) = cos²(x) - 0,5x·e⁰·³ˣ + 5</t>
  </si>
  <si>
    <t>¿Raíz?</t>
  </si>
  <si>
    <t>CONCLUSIÓN:</t>
  </si>
  <si>
    <t>MÉTODO DE BISECCIÓN - ECUACIÓN 1</t>
  </si>
  <si>
    <t>MÉTODO NEWTON-RAPHSON - ECUACIÓN 1</t>
  </si>
  <si>
    <t>MÉTODO DE LA SECANTE - ECUACIÓN 1</t>
  </si>
  <si>
    <t>"Ecuación: x³ - x²·e⁻⁰·⁵ˣ - 3x + 1 = 0"</t>
  </si>
  <si>
    <t xml:space="preserve"> "Intervalo: [1,5, 2]"</t>
  </si>
  <si>
    <t>"Tolerancia: 0,000001"</t>
  </si>
  <si>
    <t>"Intervalo: [0, 1]"</t>
  </si>
  <si>
    <t>BISECCIÓN - ECUACIÓN 3 - RAÍZ 2</t>
  </si>
  <si>
    <t>NEWTON-RAPHSON - ECUACIÓN 3 - RAÍZ 2</t>
  </si>
  <si>
    <t>"Derivada: f'(x) = 3x² - 2x·e⁻⁰·⁵ˣ + 0,5x²·e⁻⁰·⁵ˣ - 3"</t>
  </si>
  <si>
    <t>"Punto inicial: x₀ = 0,5"</t>
  </si>
  <si>
    <t>SECANTE - ECUACIÓN 3 - RAÍZ 2</t>
  </si>
  <si>
    <t xml:space="preserve"> "Ecuación: x³ - x²·e⁻⁰·⁵ˣ - 3x + 1 = 0"</t>
  </si>
  <si>
    <t>"Puntos iniciales: x₀ = 0, x₁ = 0,5"</t>
  </si>
  <si>
    <t xml:space="preserve"> "Tolerancia: 0,000001"</t>
  </si>
  <si>
    <t>BISECCIÓN - ECUACIÓN 3 - RAÍZ 3</t>
  </si>
  <si>
    <t>NEWTON-RAPHSON - ECUACIÓN 3 - RAÍZ 3</t>
  </si>
  <si>
    <t xml:space="preserve"> "Punto inicial: x₀ = 1,8"</t>
  </si>
  <si>
    <t>SECANTE - ECUACIÓN 3 - RAÍZ 3</t>
  </si>
  <si>
    <t>"Puntos iniciales: x₀ = 1,7, x₁ = 1,9"</t>
  </si>
  <si>
    <t>ECUACIÓN 4 - VERIFICACIÓN DE RAÍCES</t>
  </si>
  <si>
    <t xml:space="preserve"> "Ecuación: cos²(x) - 0,5x·e⁰·³ˣ + 5 = 0"</t>
  </si>
  <si>
    <t>"ANÁLISIS: Verificar si tiene raíces reales"</t>
  </si>
  <si>
    <t>"Hipótesis: Probablemente NO tiene raíces reales"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</si>
</sst>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F1115"/>
      <name val="Consolas"/>
      <family val="3"/>
    </font>
    <font>
      <b/>
      <sz val="10"/>
      <color rgb="FF0F1115"/>
      <name val="Consolas"/>
      <family val="3"/>
    </font>
    <font>
      <b/>
      <sz val="11"/>
      <color theme="1"/>
      <name val="Aptos Narrow"/>
      <family val="2"/>
      <scheme val="minor"/>
    </font>
    <font>
      <b/>
      <sz val="14"/>
      <color rgb="FFC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rgb="FF0F1115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ill="1" applyBorder="1"/>
    <xf numFmtId="0" fontId="1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BB05-6349-4F68-BCAD-C18D76FB8370}">
  <dimension ref="B2:I68"/>
  <sheetViews>
    <sheetView topLeftCell="A42" zoomScale="98" workbookViewId="0">
      <selection activeCell="E19" sqref="E19"/>
    </sheetView>
  </sheetViews>
  <sheetFormatPr baseColWidth="10" defaultRowHeight="15" x14ac:dyDescent="0.25"/>
  <cols>
    <col min="2" max="2" width="12.42578125" customWidth="1"/>
    <col min="3" max="3" width="14.28515625" customWidth="1"/>
    <col min="4" max="4" width="14.5703125" customWidth="1"/>
    <col min="5" max="5" width="14.140625" customWidth="1"/>
    <col min="6" max="6" width="30.140625" customWidth="1"/>
    <col min="7" max="7" width="56" customWidth="1"/>
    <col min="8" max="8" width="21" customWidth="1"/>
    <col min="9" max="9" width="16.42578125" customWidth="1"/>
  </cols>
  <sheetData>
    <row r="2" spans="2:9" ht="18.75" x14ac:dyDescent="0.25">
      <c r="B2" s="3" t="s">
        <v>36</v>
      </c>
      <c r="C2" s="3"/>
      <c r="D2" s="3"/>
      <c r="E2" s="3"/>
      <c r="F2" s="3"/>
      <c r="G2" s="3"/>
      <c r="H2" s="3"/>
      <c r="I2" s="3"/>
    </row>
    <row r="3" spans="2:9" x14ac:dyDescent="0.25">
      <c r="B3" s="4" t="s">
        <v>0</v>
      </c>
      <c r="C3" s="4"/>
      <c r="D3" s="4"/>
    </row>
    <row r="4" spans="2:9" x14ac:dyDescent="0.25">
      <c r="B4" s="4" t="s">
        <v>1</v>
      </c>
      <c r="C4" s="4"/>
      <c r="D4" s="4"/>
    </row>
    <row r="5" spans="2:9" x14ac:dyDescent="0.25">
      <c r="B5" s="4" t="s">
        <v>2</v>
      </c>
      <c r="C5" s="4"/>
      <c r="D5" s="4"/>
    </row>
    <row r="7" spans="2:9" x14ac:dyDescent="0.25">
      <c r="B7" s="5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</row>
    <row r="8" spans="2:9" x14ac:dyDescent="0.25">
      <c r="B8">
        <v>0</v>
      </c>
      <c r="C8">
        <v>3</v>
      </c>
      <c r="D8">
        <v>4</v>
      </c>
      <c r="E8">
        <v>-4.0231763806416048</v>
      </c>
      <c r="F8">
        <v>19.467469802890648</v>
      </c>
      <c r="G8">
        <v>3.5</v>
      </c>
      <c r="H8">
        <v>6.4303532289029448</v>
      </c>
      <c r="I8">
        <v>1</v>
      </c>
    </row>
    <row r="9" spans="2:9" x14ac:dyDescent="0.25">
      <c r="B9">
        <v>1</v>
      </c>
      <c r="C9">
        <v>3</v>
      </c>
      <c r="D9">
        <v>3.5</v>
      </c>
      <c r="E9">
        <v>-4.0231763806416048</v>
      </c>
      <c r="F9">
        <v>6.4303532289029448</v>
      </c>
      <c r="G9">
        <v>3.25</v>
      </c>
      <c r="H9">
        <v>0.86438696499831025</v>
      </c>
      <c r="I9">
        <v>0.5</v>
      </c>
    </row>
    <row r="10" spans="2:9" x14ac:dyDescent="0.25">
      <c r="B10">
        <v>2</v>
      </c>
      <c r="C10">
        <v>3</v>
      </c>
      <c r="D10">
        <v>3.25</v>
      </c>
      <c r="E10">
        <v>-4.0231763806416048</v>
      </c>
      <c r="F10">
        <v>0.86438696499831025</v>
      </c>
      <c r="G10">
        <v>3.125</v>
      </c>
      <c r="H10">
        <v>-1.664915835703475</v>
      </c>
      <c r="I10">
        <v>0.25</v>
      </c>
    </row>
    <row r="11" spans="2:9" x14ac:dyDescent="0.25">
      <c r="B11">
        <v>3</v>
      </c>
      <c r="C11">
        <v>3.125</v>
      </c>
      <c r="D11">
        <v>3.25</v>
      </c>
      <c r="E11">
        <v>-1.664915835703475</v>
      </c>
      <c r="F11">
        <v>0.86438696499831025</v>
      </c>
      <c r="G11">
        <v>3.1875</v>
      </c>
      <c r="H11">
        <v>-0.42160573578803451</v>
      </c>
      <c r="I11">
        <v>0.125</v>
      </c>
    </row>
    <row r="12" spans="2:9" x14ac:dyDescent="0.25">
      <c r="B12">
        <v>4</v>
      </c>
      <c r="C12">
        <v>3.1875</v>
      </c>
      <c r="D12">
        <v>3.25</v>
      </c>
      <c r="E12">
        <v>-0.42160573578803451</v>
      </c>
      <c r="F12">
        <v>0.86438696499831025</v>
      </c>
      <c r="G12">
        <v>3.21875</v>
      </c>
      <c r="H12">
        <v>0.21606443330685821</v>
      </c>
      <c r="I12">
        <v>6.25E-2</v>
      </c>
    </row>
    <row r="13" spans="2:9" x14ac:dyDescent="0.25">
      <c r="B13">
        <v>5</v>
      </c>
      <c r="C13">
        <v>3.1875</v>
      </c>
      <c r="D13">
        <v>3.21875</v>
      </c>
      <c r="E13">
        <v>-0.42160573578803451</v>
      </c>
      <c r="F13">
        <v>0.21606443330685821</v>
      </c>
      <c r="G13">
        <v>3.203125</v>
      </c>
      <c r="H13">
        <v>-0.10410353645155368</v>
      </c>
      <c r="I13">
        <v>3.125E-2</v>
      </c>
    </row>
    <row r="14" spans="2:9" x14ac:dyDescent="0.25">
      <c r="B14">
        <v>6</v>
      </c>
      <c r="C14">
        <v>3.203125</v>
      </c>
      <c r="D14">
        <v>3.21875</v>
      </c>
      <c r="E14">
        <v>-0.10410353645155368</v>
      </c>
      <c r="F14">
        <v>0.21606443330685821</v>
      </c>
      <c r="G14">
        <v>3.2109375</v>
      </c>
      <c r="H14">
        <v>5.5647382134296208E-2</v>
      </c>
      <c r="I14">
        <v>1.5625E-2</v>
      </c>
    </row>
    <row r="15" spans="2:9" x14ac:dyDescent="0.25">
      <c r="B15">
        <v>7</v>
      </c>
      <c r="C15">
        <v>3.203125</v>
      </c>
      <c r="D15">
        <v>3.2109375</v>
      </c>
      <c r="E15">
        <v>-0.10410353645155368</v>
      </c>
      <c r="F15">
        <v>5.5647382134296208E-2</v>
      </c>
      <c r="G15">
        <v>3.20703125</v>
      </c>
      <c r="H15">
        <v>-2.4311363882567605E-2</v>
      </c>
      <c r="I15">
        <v>7.8125E-3</v>
      </c>
    </row>
    <row r="16" spans="2:9" x14ac:dyDescent="0.25">
      <c r="B16">
        <v>8</v>
      </c>
      <c r="C16">
        <v>3.20703125</v>
      </c>
      <c r="D16">
        <v>3.2109375</v>
      </c>
      <c r="E16">
        <v>-2.4311363882567605E-2</v>
      </c>
      <c r="F16">
        <v>5.5647382134296208E-2</v>
      </c>
      <c r="G16">
        <v>3.208984375</v>
      </c>
      <c r="H16">
        <v>1.5647189915139137E-2</v>
      </c>
      <c r="I16">
        <v>3.90625E-3</v>
      </c>
    </row>
    <row r="17" spans="2:9" x14ac:dyDescent="0.25">
      <c r="B17">
        <v>9</v>
      </c>
      <c r="C17">
        <v>3.20703125</v>
      </c>
      <c r="D17">
        <v>3.208984375</v>
      </c>
      <c r="E17">
        <v>-2.4311363882567605E-2</v>
      </c>
      <c r="F17">
        <v>1.5647189915139137E-2</v>
      </c>
      <c r="G17">
        <v>3.2080078125</v>
      </c>
      <c r="H17">
        <v>-4.3372920982065466E-3</v>
      </c>
      <c r="I17">
        <v>1.953125E-3</v>
      </c>
    </row>
    <row r="18" spans="2:9" x14ac:dyDescent="0.25">
      <c r="B18">
        <v>10</v>
      </c>
      <c r="C18">
        <v>3.2080078125</v>
      </c>
      <c r="D18">
        <v>3.208984375</v>
      </c>
      <c r="E18">
        <v>-4.3372920982065466E-3</v>
      </c>
      <c r="F18">
        <v>1.5647189915139137E-2</v>
      </c>
      <c r="G18">
        <v>3.20849609375</v>
      </c>
      <c r="H18">
        <v>5.6536476686304127E-3</v>
      </c>
      <c r="I18">
        <v>9.765625E-4</v>
      </c>
    </row>
    <row r="19" spans="2:9" x14ac:dyDescent="0.25">
      <c r="B19">
        <v>11</v>
      </c>
      <c r="C19">
        <v>3.2080078125</v>
      </c>
      <c r="D19">
        <v>3.20849609375</v>
      </c>
      <c r="E19">
        <v>-4.3372920982065466E-3</v>
      </c>
      <c r="F19">
        <v>5.6536476686304127E-3</v>
      </c>
      <c r="G19">
        <v>3.208251953125</v>
      </c>
      <c r="H19">
        <v>6.5785247038974148E-4</v>
      </c>
      <c r="I19">
        <v>4.8828125E-4</v>
      </c>
    </row>
    <row r="20" spans="2:9" x14ac:dyDescent="0.25">
      <c r="B20">
        <v>12</v>
      </c>
      <c r="C20">
        <v>3.2080078125</v>
      </c>
      <c r="D20">
        <v>3.208251953125</v>
      </c>
      <c r="E20">
        <v>-4.3372920982065466E-3</v>
      </c>
      <c r="F20">
        <v>6.5785247038974148E-4</v>
      </c>
      <c r="G20">
        <v>3.2081298828125</v>
      </c>
      <c r="H20">
        <v>-1.8398011432196881E-3</v>
      </c>
      <c r="I20">
        <v>2.44140625E-4</v>
      </c>
    </row>
    <row r="21" spans="2:9" x14ac:dyDescent="0.25">
      <c r="B21">
        <v>13</v>
      </c>
      <c r="C21">
        <v>3.2081298828125</v>
      </c>
      <c r="D21">
        <v>3.208251953125</v>
      </c>
      <c r="E21">
        <v>-1.8398011432196881E-3</v>
      </c>
      <c r="F21">
        <v>6.5785247038974148E-4</v>
      </c>
      <c r="G21">
        <v>3.20819091796875</v>
      </c>
      <c r="H21">
        <v>-5.9099466866285866E-4</v>
      </c>
      <c r="I21">
        <v>1.220703125E-4</v>
      </c>
    </row>
    <row r="22" spans="2:9" x14ac:dyDescent="0.25">
      <c r="B22">
        <v>14</v>
      </c>
      <c r="C22">
        <v>3.20819091796875</v>
      </c>
      <c r="D22">
        <v>3.208251953125</v>
      </c>
      <c r="E22">
        <v>-5.9099466866285866E-4</v>
      </c>
      <c r="F22">
        <v>6.5785247038974148E-4</v>
      </c>
      <c r="G22">
        <v>3.208221435546875</v>
      </c>
      <c r="H22">
        <v>3.3423817811240042E-5</v>
      </c>
      <c r="I22">
        <v>6.103515625E-5</v>
      </c>
    </row>
    <row r="23" spans="2:9" x14ac:dyDescent="0.25">
      <c r="B23">
        <v>15</v>
      </c>
      <c r="C23">
        <v>3.20819091796875</v>
      </c>
      <c r="D23">
        <v>3.208221435546875</v>
      </c>
      <c r="E23">
        <v>-5.9099466866285866E-4</v>
      </c>
      <c r="F23">
        <v>3.3423817811240042E-5</v>
      </c>
      <c r="G23">
        <v>3.2082061767578125</v>
      </c>
      <c r="H23">
        <v>-2.7878669619951779E-4</v>
      </c>
      <c r="I23">
        <v>3.0517578125E-5</v>
      </c>
    </row>
    <row r="24" spans="2:9" x14ac:dyDescent="0.25">
      <c r="B24">
        <v>16</v>
      </c>
      <c r="C24">
        <v>3.2082061767578125</v>
      </c>
      <c r="D24">
        <v>3.208221435546875</v>
      </c>
      <c r="E24">
        <v>-2.7878669619951779E-4</v>
      </c>
      <c r="F24">
        <v>3.3423817811240042E-5</v>
      </c>
      <c r="G24">
        <v>3.2082138061523438</v>
      </c>
      <c r="H24">
        <v>-1.2268175688490146E-4</v>
      </c>
      <c r="I24">
        <v>1.52587890625E-5</v>
      </c>
    </row>
    <row r="25" spans="2:9" x14ac:dyDescent="0.25">
      <c r="B25">
        <v>17</v>
      </c>
      <c r="C25">
        <v>3.2082138061523438</v>
      </c>
      <c r="D25">
        <v>3.208221435546875</v>
      </c>
      <c r="E25">
        <v>-1.2268175688490146E-4</v>
      </c>
      <c r="F25">
        <v>3.3423817811240042E-5</v>
      </c>
      <c r="G25">
        <v>3.2082176208496094</v>
      </c>
      <c r="H25">
        <v>-4.4629048957744999E-5</v>
      </c>
      <c r="I25">
        <v>7.62939453125E-6</v>
      </c>
    </row>
    <row r="26" spans="2:9" x14ac:dyDescent="0.25">
      <c r="B26">
        <v>18</v>
      </c>
      <c r="C26">
        <v>3.2082176208496094</v>
      </c>
      <c r="D26">
        <v>3.208221435546875</v>
      </c>
      <c r="E26">
        <v>-4.4629048957744999E-5</v>
      </c>
      <c r="F26">
        <v>3.3423817811240042E-5</v>
      </c>
      <c r="G26">
        <v>3.2082195281982422</v>
      </c>
      <c r="H26">
        <v>-5.6026354293692293E-6</v>
      </c>
      <c r="I26">
        <v>3.814697265625E-6</v>
      </c>
    </row>
    <row r="27" spans="2:9" x14ac:dyDescent="0.25">
      <c r="B27">
        <v>19</v>
      </c>
      <c r="C27">
        <v>3.2082195281982422</v>
      </c>
      <c r="D27">
        <v>3.208221435546875</v>
      </c>
      <c r="E27">
        <v>-5.6026354293692293E-6</v>
      </c>
      <c r="F27">
        <v>3.3423817811240042E-5</v>
      </c>
      <c r="G27">
        <v>3.2082204818725586</v>
      </c>
      <c r="H27">
        <v>1.391058622601804E-5</v>
      </c>
      <c r="I27">
        <v>1.9073486328125E-6</v>
      </c>
    </row>
    <row r="28" spans="2:9" x14ac:dyDescent="0.25">
      <c r="B28">
        <v>20</v>
      </c>
      <c r="C28">
        <v>3.2082195281982422</v>
      </c>
      <c r="D28">
        <v>3.2082204818725586</v>
      </c>
      <c r="E28">
        <v>-5.6026354293692293E-6</v>
      </c>
      <c r="F28">
        <v>1.391058622601804E-5</v>
      </c>
      <c r="G28">
        <v>3.2082200050354004</v>
      </c>
      <c r="H28">
        <v>4.1539741566509747E-6</v>
      </c>
      <c r="I28">
        <v>9.5367431640625E-7</v>
      </c>
    </row>
    <row r="29" spans="2:9" x14ac:dyDescent="0.25">
      <c r="B29">
        <v>21</v>
      </c>
      <c r="C29">
        <v>3.2082195281982422</v>
      </c>
      <c r="D29">
        <v>3.2082200050354004</v>
      </c>
      <c r="E29">
        <v>-5.6026354293692293E-6</v>
      </c>
      <c r="F29">
        <v>4.1539741566509747E-6</v>
      </c>
      <c r="G29">
        <v>3.2082197666168213</v>
      </c>
      <c r="H29">
        <v>-7.2433094544521737E-7</v>
      </c>
      <c r="I29">
        <v>4.76837158203125E-7</v>
      </c>
    </row>
    <row r="30" spans="2:9" x14ac:dyDescent="0.25">
      <c r="B30">
        <v>22</v>
      </c>
      <c r="C30">
        <v>3.2082197666168213</v>
      </c>
      <c r="D30">
        <v>3.2082200050354004</v>
      </c>
      <c r="E30">
        <v>-7.2433094544521737E-7</v>
      </c>
      <c r="F30">
        <v>4.1539741566509747E-6</v>
      </c>
      <c r="G30">
        <v>3.2082198858261108</v>
      </c>
      <c r="H30">
        <v>1.7148215221141072E-6</v>
      </c>
      <c r="I30">
        <v>2.384185791015625E-7</v>
      </c>
    </row>
    <row r="31" spans="2:9" x14ac:dyDescent="0.25">
      <c r="B31">
        <v>23</v>
      </c>
      <c r="C31">
        <v>3.2082197666168213</v>
      </c>
      <c r="D31">
        <v>3.2082198858261108</v>
      </c>
      <c r="E31">
        <v>-7.2433094544521737E-7</v>
      </c>
      <c r="F31">
        <v>1.7148215221141072E-6</v>
      </c>
      <c r="G31">
        <v>3.2082198262214661</v>
      </c>
      <c r="H31">
        <v>4.9524527412359021E-7</v>
      </c>
      <c r="I31">
        <v>1.1920928955078125E-7</v>
      </c>
    </row>
    <row r="32" spans="2:9" x14ac:dyDescent="0.25">
      <c r="B32">
        <v>24</v>
      </c>
      <c r="C32">
        <v>3.2082197666168213</v>
      </c>
      <c r="D32">
        <v>3.2082198262214661</v>
      </c>
      <c r="E32">
        <v>-7.2433094544521737E-7</v>
      </c>
      <c r="F32">
        <v>4.9524527412359021E-7</v>
      </c>
      <c r="G32">
        <v>3.2082197964191437</v>
      </c>
      <c r="H32">
        <v>-1.1454284276624094E-7</v>
      </c>
      <c r="I32">
        <v>5.9604644775390625E-8</v>
      </c>
    </row>
    <row r="33" spans="2:9" x14ac:dyDescent="0.25">
      <c r="B33">
        <v>25</v>
      </c>
      <c r="C33">
        <v>3.2082197964191437</v>
      </c>
      <c r="D33">
        <v>3.2082198262214661</v>
      </c>
      <c r="E33">
        <v>-1.1454284276624094E-7</v>
      </c>
      <c r="F33">
        <v>4.9524527412359021E-7</v>
      </c>
      <c r="G33">
        <v>3.2082198113203049</v>
      </c>
      <c r="H33">
        <v>1.9035120857324728E-7</v>
      </c>
      <c r="I33">
        <v>2.9802322387695313E-8</v>
      </c>
    </row>
    <row r="34" spans="2:9" x14ac:dyDescent="0.25">
      <c r="B34">
        <v>26</v>
      </c>
      <c r="C34">
        <v>3.2082197964191437</v>
      </c>
      <c r="D34">
        <v>3.2082198113203049</v>
      </c>
      <c r="E34">
        <v>-1.1454284276624094E-7</v>
      </c>
      <c r="F34">
        <v>1.9035120857324728E-7</v>
      </c>
      <c r="G34">
        <v>3.2082198038697243</v>
      </c>
      <c r="H34">
        <v>3.7904186456216848E-8</v>
      </c>
      <c r="I34">
        <v>1.4901161193847656E-8</v>
      </c>
    </row>
    <row r="35" spans="2:9" x14ac:dyDescent="0.25">
      <c r="B35">
        <v>27</v>
      </c>
      <c r="C35">
        <v>3.2082197964191437</v>
      </c>
      <c r="D35">
        <v>3.2082198038697243</v>
      </c>
      <c r="E35">
        <v>-1.1454284276624094E-7</v>
      </c>
      <c r="F35">
        <v>3.7904186456216848E-8</v>
      </c>
      <c r="G35">
        <v>3.208219800144434</v>
      </c>
      <c r="H35">
        <v>-3.8319328155012045E-8</v>
      </c>
      <c r="I35">
        <v>7.4505805969238281E-9</v>
      </c>
    </row>
    <row r="36" spans="2:9" x14ac:dyDescent="0.25">
      <c r="B36">
        <v>28</v>
      </c>
      <c r="C36">
        <v>3.208219800144434</v>
      </c>
      <c r="D36">
        <v>3.2082198038697243</v>
      </c>
      <c r="E36">
        <v>-3.8319328155012045E-8</v>
      </c>
      <c r="F36">
        <v>3.7904186456216848E-8</v>
      </c>
      <c r="G36">
        <v>3.2082198020070791</v>
      </c>
      <c r="H36">
        <v>-2.0757795482495567E-10</v>
      </c>
      <c r="I36">
        <v>3.7252902984619141E-9</v>
      </c>
    </row>
    <row r="37" spans="2:9" x14ac:dyDescent="0.25">
      <c r="B37">
        <v>29</v>
      </c>
      <c r="C37">
        <v>3.2082198020070791</v>
      </c>
      <c r="D37">
        <v>3.2082198038697243</v>
      </c>
      <c r="E37">
        <v>-2.0757795482495567E-10</v>
      </c>
      <c r="F37">
        <v>3.7904186456216848E-8</v>
      </c>
      <c r="G37">
        <v>3.2082198029384017</v>
      </c>
      <c r="H37">
        <v>1.8848304250695946E-8</v>
      </c>
      <c r="I37">
        <v>1.862645149230957E-9</v>
      </c>
    </row>
    <row r="38" spans="2:9" x14ac:dyDescent="0.25">
      <c r="B38">
        <v>30</v>
      </c>
      <c r="C38">
        <v>3.2082198020070791</v>
      </c>
      <c r="D38">
        <v>3.2082198029384017</v>
      </c>
      <c r="E38">
        <v>-2.0757795482495567E-10</v>
      </c>
      <c r="F38">
        <v>1.8848304250695946E-8</v>
      </c>
      <c r="G38">
        <v>3.2082198024727404</v>
      </c>
      <c r="H38">
        <v>9.3203667006491742E-9</v>
      </c>
      <c r="I38">
        <v>9.3132257461547852E-10</v>
      </c>
    </row>
    <row r="39" spans="2:9" x14ac:dyDescent="0.25">
      <c r="B39">
        <v>31</v>
      </c>
      <c r="C39">
        <v>3.2082198020070791</v>
      </c>
      <c r="D39">
        <v>3.2082198024727404</v>
      </c>
      <c r="E39">
        <v>-2.0757795482495567E-10</v>
      </c>
      <c r="F39">
        <v>9.3203667006491742E-9</v>
      </c>
      <c r="G39">
        <v>3.2082198022399098</v>
      </c>
      <c r="H39">
        <v>4.5563943729121092E-9</v>
      </c>
      <c r="I39">
        <v>4.6566128730773926E-10</v>
      </c>
    </row>
    <row r="42" spans="2:9" ht="18.75" x14ac:dyDescent="0.25">
      <c r="B42" s="3" t="s">
        <v>37</v>
      </c>
      <c r="C42" s="3"/>
      <c r="D42" s="3"/>
      <c r="E42" s="3"/>
      <c r="F42" s="3"/>
      <c r="G42" s="3"/>
      <c r="H42" s="3"/>
      <c r="I42" s="3"/>
    </row>
    <row r="43" spans="2:9" x14ac:dyDescent="0.25">
      <c r="B43" s="7" t="s">
        <v>0</v>
      </c>
      <c r="C43" s="7"/>
      <c r="D43" s="7"/>
    </row>
    <row r="44" spans="2:9" x14ac:dyDescent="0.25">
      <c r="B44" s="7" t="s">
        <v>11</v>
      </c>
      <c r="C44" s="7"/>
      <c r="D44" s="7"/>
    </row>
    <row r="45" spans="2:9" x14ac:dyDescent="0.25">
      <c r="B45" s="7" t="s">
        <v>12</v>
      </c>
      <c r="C45" s="7"/>
      <c r="D45" s="7"/>
    </row>
    <row r="46" spans="2:9" x14ac:dyDescent="0.25">
      <c r="B46" s="7" t="s">
        <v>13</v>
      </c>
      <c r="C46" s="7"/>
      <c r="D46" s="7"/>
    </row>
    <row r="48" spans="2:9" x14ac:dyDescent="0.25">
      <c r="B48" s="8" t="s">
        <v>3</v>
      </c>
      <c r="C48" s="8" t="s">
        <v>14</v>
      </c>
      <c r="D48" s="8" t="s">
        <v>15</v>
      </c>
      <c r="E48" s="8" t="s">
        <v>16</v>
      </c>
      <c r="F48" s="8" t="s">
        <v>17</v>
      </c>
      <c r="G48" s="8" t="s">
        <v>18</v>
      </c>
    </row>
    <row r="49" spans="2:9" x14ac:dyDescent="0.25">
      <c r="B49">
        <v>0</v>
      </c>
      <c r="C49">
        <v>3.5</v>
      </c>
      <c r="D49">
        <f>C49^3 - EXP(0.8*C49) - 20</f>
        <v>6.4303532289029448</v>
      </c>
      <c r="E49">
        <f>3*C49^2 - 0.8*EXP(0.8*C49)</f>
        <v>23.594282583122357</v>
      </c>
      <c r="F49">
        <f>C49 - D49/E49</f>
        <v>3.2274613794147422</v>
      </c>
      <c r="G49">
        <f>ABS(F49-C49)</f>
        <v>0.2725386205852578</v>
      </c>
    </row>
    <row r="50" spans="2:9" x14ac:dyDescent="0.25">
      <c r="B50" s="2">
        <f>B49+1</f>
        <v>1</v>
      </c>
      <c r="C50">
        <f>F49</f>
        <v>3.2274613794147422</v>
      </c>
      <c r="D50">
        <f>C50^3 - EXP(0.8*C50) - 20</f>
        <v>0.39572361474333917</v>
      </c>
      <c r="E50">
        <f>3*C50^2 - 0.8*EXP(0.8*C50)</f>
        <v>20.67100063251717</v>
      </c>
      <c r="F50">
        <f>C50 - D50/E50</f>
        <v>3.2083174772022467</v>
      </c>
      <c r="G50">
        <f>ABS(F50-C50)</f>
        <v>1.9143902212495512E-2</v>
      </c>
    </row>
    <row r="51" spans="2:9" x14ac:dyDescent="0.25">
      <c r="B51" s="2">
        <f t="shared" ref="B51:B53" si="0">B50+1</f>
        <v>2</v>
      </c>
      <c r="C51">
        <f t="shared" ref="C51:C53" si="1">F50</f>
        <v>3.2083174772022467</v>
      </c>
      <c r="D51">
        <f t="shared" ref="D51:D53" si="2">C51^3 - EXP(0.8*C51) - 20</f>
        <v>1.9985931829964443E-3</v>
      </c>
      <c r="E51">
        <f t="shared" ref="E51:E53" si="3">3*C51^2 - 0.8*EXP(0.8*C51)</f>
        <v>20.462159892383411</v>
      </c>
      <c r="F51">
        <f t="shared" ref="F51:F53" si="4">C51 - D51/E51</f>
        <v>3.2082198045619434</v>
      </c>
      <c r="G51">
        <f t="shared" ref="G51:G53" si="5">ABS(F51-C51)</f>
        <v>9.767264030324796E-5</v>
      </c>
    </row>
    <row r="52" spans="2:9" x14ac:dyDescent="0.25">
      <c r="B52" s="2">
        <f t="shared" si="0"/>
        <v>3</v>
      </c>
      <c r="C52">
        <f t="shared" si="1"/>
        <v>3.2082198045619434</v>
      </c>
      <c r="D52">
        <f t="shared" si="2"/>
        <v>5.2067743894212981E-8</v>
      </c>
      <c r="E52">
        <f t="shared" si="3"/>
        <v>20.461093722955745</v>
      </c>
      <c r="F52">
        <f t="shared" si="4"/>
        <v>3.2082198020172239</v>
      </c>
      <c r="G52">
        <f t="shared" si="5"/>
        <v>2.544719546193619E-9</v>
      </c>
    </row>
    <row r="53" spans="2:9" x14ac:dyDescent="0.25">
      <c r="B53" s="2">
        <f t="shared" si="0"/>
        <v>4</v>
      </c>
      <c r="C53">
        <f t="shared" si="1"/>
        <v>3.2082198020172239</v>
      </c>
      <c r="D53">
        <f t="shared" si="2"/>
        <v>0</v>
      </c>
      <c r="E53">
        <f t="shared" si="3"/>
        <v>20.46109369517816</v>
      </c>
      <c r="F53">
        <f t="shared" si="4"/>
        <v>3.2082198020172239</v>
      </c>
      <c r="G53">
        <f t="shared" si="5"/>
        <v>0</v>
      </c>
    </row>
    <row r="56" spans="2:9" ht="18.75" x14ac:dyDescent="0.25">
      <c r="B56" s="3" t="s">
        <v>38</v>
      </c>
      <c r="C56" s="3"/>
      <c r="D56" s="3"/>
      <c r="E56" s="3"/>
      <c r="F56" s="3"/>
      <c r="G56" s="3"/>
      <c r="H56" s="3"/>
      <c r="I56" s="3"/>
    </row>
    <row r="57" spans="2:9" x14ac:dyDescent="0.25">
      <c r="B57" s="9" t="s">
        <v>0</v>
      </c>
      <c r="C57" s="9"/>
      <c r="D57" s="9"/>
    </row>
    <row r="58" spans="2:9" x14ac:dyDescent="0.25">
      <c r="B58" s="9" t="s">
        <v>19</v>
      </c>
      <c r="C58" s="9"/>
      <c r="D58" s="9"/>
    </row>
    <row r="59" spans="2:9" x14ac:dyDescent="0.25">
      <c r="B59" s="9" t="s">
        <v>12</v>
      </c>
      <c r="C59" s="9"/>
      <c r="D59" s="9"/>
    </row>
    <row r="61" spans="2:9" x14ac:dyDescent="0.25">
      <c r="B61" s="10" t="s">
        <v>3</v>
      </c>
      <c r="C61" s="10" t="s">
        <v>20</v>
      </c>
      <c r="D61" s="10" t="s">
        <v>14</v>
      </c>
      <c r="E61" s="10" t="s">
        <v>21</v>
      </c>
      <c r="F61" s="10" t="s">
        <v>15</v>
      </c>
      <c r="G61" s="10" t="s">
        <v>22</v>
      </c>
      <c r="H61" s="10" t="s">
        <v>18</v>
      </c>
    </row>
    <row r="62" spans="2:9" x14ac:dyDescent="0.25">
      <c r="B62">
        <v>0</v>
      </c>
      <c r="C62">
        <v>3</v>
      </c>
      <c r="D62">
        <v>4</v>
      </c>
      <c r="E62">
        <v>-4.0231763806416048</v>
      </c>
      <c r="F62">
        <v>19.467469802890648</v>
      </c>
      <c r="G62">
        <v>3.1712671652030582</v>
      </c>
      <c r="H62">
        <v>0.82873283479694182</v>
      </c>
    </row>
    <row r="63" spans="2:9" x14ac:dyDescent="0.25">
      <c r="B63">
        <v>1</v>
      </c>
      <c r="C63">
        <v>4</v>
      </c>
      <c r="D63">
        <v>3.1712671652030582</v>
      </c>
      <c r="E63">
        <v>19.467469802890648</v>
      </c>
      <c r="F63">
        <v>-0.74863343680182481</v>
      </c>
      <c r="G63">
        <v>3.2019564183666658</v>
      </c>
      <c r="H63">
        <v>3.0689253163607599E-2</v>
      </c>
    </row>
    <row r="64" spans="2:9" x14ac:dyDescent="0.25">
      <c r="B64">
        <v>2</v>
      </c>
      <c r="C64">
        <v>3.1712671652030582</v>
      </c>
      <c r="D64">
        <v>3.2019564183666658</v>
      </c>
      <c r="E64">
        <v>-0.74863343680182481</v>
      </c>
      <c r="F64">
        <v>-0.12794153995860569</v>
      </c>
      <c r="G64">
        <v>3.2082823110195275</v>
      </c>
      <c r="H64">
        <v>6.3258926528617643E-3</v>
      </c>
    </row>
    <row r="65" spans="2:8" x14ac:dyDescent="0.25">
      <c r="B65">
        <v>3</v>
      </c>
      <c r="C65">
        <v>3.2019564183666658</v>
      </c>
      <c r="D65">
        <v>3.2082823110195275</v>
      </c>
      <c r="E65">
        <v>-0.12794153995860569</v>
      </c>
      <c r="F65">
        <v>1.2790238789150976E-3</v>
      </c>
      <c r="G65">
        <v>3.208219697395827</v>
      </c>
      <c r="H65">
        <v>6.2613623700524812E-5</v>
      </c>
    </row>
    <row r="66" spans="2:8" x14ac:dyDescent="0.25">
      <c r="B66">
        <v>4</v>
      </c>
      <c r="C66">
        <v>3.2082823110195275</v>
      </c>
      <c r="D66">
        <v>3.208219697395827</v>
      </c>
      <c r="E66">
        <v>1.2790238789150976E-3</v>
      </c>
      <c r="F66">
        <v>-2.1406681440794273E-6</v>
      </c>
      <c r="G66">
        <v>3.2082198020154795</v>
      </c>
      <c r="H66">
        <v>1.0461965249675131E-7</v>
      </c>
    </row>
    <row r="67" spans="2:8" x14ac:dyDescent="0.25">
      <c r="B67">
        <v>5</v>
      </c>
      <c r="C67">
        <v>3.208219697395827</v>
      </c>
      <c r="D67">
        <v>3.2082198020154795</v>
      </c>
      <c r="E67">
        <v>-2.1406681440794273E-6</v>
      </c>
      <c r="F67">
        <v>-3.5687008903551032E-11</v>
      </c>
      <c r="G67">
        <v>3.2082198020172235</v>
      </c>
      <c r="H67">
        <v>1.7439383270811959E-12</v>
      </c>
    </row>
    <row r="68" spans="2:8" x14ac:dyDescent="0.25">
      <c r="B68">
        <v>6</v>
      </c>
      <c r="C68">
        <v>3.2082198020154795</v>
      </c>
      <c r="D68">
        <v>3.2082198020172235</v>
      </c>
      <c r="E68">
        <v>-3.5687008903551032E-11</v>
      </c>
      <c r="F68">
        <v>0</v>
      </c>
      <c r="G68">
        <v>3.2082198020172235</v>
      </c>
      <c r="H68">
        <v>0</v>
      </c>
    </row>
  </sheetData>
  <mergeCells count="13">
    <mergeCell ref="B58:D58"/>
    <mergeCell ref="B59:D59"/>
    <mergeCell ref="B43:D43"/>
    <mergeCell ref="B44:D44"/>
    <mergeCell ref="B45:D45"/>
    <mergeCell ref="B46:D46"/>
    <mergeCell ref="B56:I56"/>
    <mergeCell ref="B57:D57"/>
    <mergeCell ref="B2:I2"/>
    <mergeCell ref="B5:D5"/>
    <mergeCell ref="B4:D4"/>
    <mergeCell ref="B3:D3"/>
    <mergeCell ref="B42:I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1FEE-C6F7-4FE0-A3B4-3FAE3C8134E8}">
  <dimension ref="B2:I64"/>
  <sheetViews>
    <sheetView topLeftCell="A35" zoomScale="88" workbookViewId="0">
      <selection activeCell="L21" sqref="L21"/>
    </sheetView>
  </sheetViews>
  <sheetFormatPr baseColWidth="10" defaultRowHeight="15" x14ac:dyDescent="0.25"/>
  <cols>
    <col min="3" max="3" width="15.140625" customWidth="1"/>
    <col min="4" max="4" width="15.5703125" customWidth="1"/>
    <col min="5" max="5" width="19" customWidth="1"/>
    <col min="6" max="6" width="28.7109375" customWidth="1"/>
    <col min="7" max="7" width="55.28515625" customWidth="1"/>
    <col min="8" max="8" width="26.7109375" customWidth="1"/>
    <col min="9" max="9" width="20.5703125" customWidth="1"/>
  </cols>
  <sheetData>
    <row r="2" spans="2:9" ht="18.75" x14ac:dyDescent="0.25">
      <c r="B2" s="3" t="s">
        <v>23</v>
      </c>
      <c r="C2" s="3"/>
      <c r="D2" s="3"/>
      <c r="E2" s="3"/>
      <c r="F2" s="3"/>
      <c r="G2" s="3"/>
      <c r="H2" s="3"/>
      <c r="I2" s="3"/>
    </row>
    <row r="3" spans="2:9" x14ac:dyDescent="0.25">
      <c r="B3" s="11" t="s">
        <v>24</v>
      </c>
      <c r="C3" s="11"/>
      <c r="D3" s="11"/>
      <c r="E3" s="11"/>
      <c r="F3" s="19"/>
      <c r="G3" s="19"/>
    </row>
    <row r="4" spans="2:9" x14ac:dyDescent="0.25">
      <c r="B4" s="11" t="s">
        <v>25</v>
      </c>
      <c r="C4" s="11"/>
      <c r="D4" s="11"/>
      <c r="E4" s="11"/>
      <c r="F4" s="19"/>
      <c r="G4" s="19"/>
    </row>
    <row r="5" spans="2:9" x14ac:dyDescent="0.25">
      <c r="B5" s="11" t="s">
        <v>12</v>
      </c>
      <c r="C5" s="11"/>
      <c r="D5" s="11"/>
      <c r="E5" s="11"/>
      <c r="F5" s="19"/>
      <c r="G5" s="19"/>
    </row>
    <row r="7" spans="2:9" x14ac:dyDescent="0.25">
      <c r="B7" s="12" t="s">
        <v>3</v>
      </c>
      <c r="C7" s="13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</row>
    <row r="8" spans="2:9" x14ac:dyDescent="0.25">
      <c r="B8">
        <v>0</v>
      </c>
      <c r="C8">
        <v>5</v>
      </c>
      <c r="D8">
        <v>6</v>
      </c>
      <c r="E8">
        <v>1.2954164323118698</v>
      </c>
      <c r="F8">
        <v>-0.57663997582039839</v>
      </c>
      <c r="G8">
        <v>5.5</v>
      </c>
      <c r="H8">
        <v>0.39498297615699496</v>
      </c>
      <c r="I8">
        <v>1</v>
      </c>
    </row>
    <row r="9" spans="2:9" x14ac:dyDescent="0.25">
      <c r="B9">
        <v>1</v>
      </c>
      <c r="C9">
        <v>5.5</v>
      </c>
      <c r="D9">
        <v>6</v>
      </c>
      <c r="E9">
        <v>0.39498297615699496</v>
      </c>
      <c r="F9">
        <v>-0.57663997582039839</v>
      </c>
      <c r="G9">
        <v>5.75</v>
      </c>
      <c r="H9">
        <v>-8.4662019909737651E-2</v>
      </c>
      <c r="I9">
        <v>0.5</v>
      </c>
    </row>
    <row r="10" spans="2:9" x14ac:dyDescent="0.25">
      <c r="B10">
        <v>2</v>
      </c>
      <c r="C10">
        <v>5.5</v>
      </c>
      <c r="D10">
        <v>5.75</v>
      </c>
      <c r="E10">
        <v>0.39498297615699496</v>
      </c>
      <c r="F10">
        <v>-8.4662019909737651E-2</v>
      </c>
      <c r="G10">
        <v>5.625</v>
      </c>
      <c r="H10">
        <v>0.15705352099906067</v>
      </c>
      <c r="I10">
        <v>0.25</v>
      </c>
    </row>
    <row r="11" spans="2:9" x14ac:dyDescent="0.25">
      <c r="B11">
        <v>3</v>
      </c>
      <c r="C11">
        <v>5.625</v>
      </c>
      <c r="D11">
        <v>5.75</v>
      </c>
      <c r="E11">
        <v>0.15705352099906067</v>
      </c>
      <c r="F11">
        <v>-8.4662019909737651E-2</v>
      </c>
      <c r="G11">
        <v>5.6875</v>
      </c>
      <c r="H11">
        <v>3.6625586454641201E-2</v>
      </c>
      <c r="I11">
        <v>0.125</v>
      </c>
    </row>
    <row r="12" spans="2:9" x14ac:dyDescent="0.25">
      <c r="B12">
        <v>4</v>
      </c>
      <c r="C12">
        <v>5.6875</v>
      </c>
      <c r="D12">
        <v>5.75</v>
      </c>
      <c r="E12">
        <v>3.6625586454641201E-2</v>
      </c>
      <c r="F12">
        <v>-8.4662019909737651E-2</v>
      </c>
      <c r="G12">
        <v>5.71875</v>
      </c>
      <c r="H12">
        <v>-2.3916234089780275E-2</v>
      </c>
      <c r="I12">
        <v>6.25E-2</v>
      </c>
    </row>
    <row r="13" spans="2:9" x14ac:dyDescent="0.25">
      <c r="B13">
        <v>5</v>
      </c>
      <c r="C13">
        <v>5.6875</v>
      </c>
      <c r="D13">
        <v>5.71875</v>
      </c>
      <c r="E13">
        <v>3.6625586454641201E-2</v>
      </c>
      <c r="F13">
        <v>-2.3916234089780275E-2</v>
      </c>
      <c r="G13">
        <v>5.703125</v>
      </c>
      <c r="H13">
        <v>6.3808584027273962E-3</v>
      </c>
      <c r="I13">
        <v>3.125E-2</v>
      </c>
    </row>
    <row r="14" spans="2:9" x14ac:dyDescent="0.25">
      <c r="B14">
        <v>6</v>
      </c>
      <c r="C14">
        <v>5.703125</v>
      </c>
      <c r="D14">
        <v>5.71875</v>
      </c>
      <c r="E14">
        <v>6.3808584027273962E-3</v>
      </c>
      <c r="F14">
        <v>-2.3916234089780275E-2</v>
      </c>
      <c r="G14">
        <v>5.7109375</v>
      </c>
      <c r="H14">
        <v>-8.7612279860023179E-3</v>
      </c>
      <c r="I14">
        <v>1.5625E-2</v>
      </c>
    </row>
    <row r="15" spans="2:9" x14ac:dyDescent="0.25">
      <c r="B15">
        <v>7</v>
      </c>
      <c r="C15">
        <v>5.703125</v>
      </c>
      <c r="D15">
        <v>5.7109375</v>
      </c>
      <c r="E15">
        <v>6.3808584027273962E-3</v>
      </c>
      <c r="F15">
        <v>-8.7612279860023179E-3</v>
      </c>
      <c r="G15">
        <v>5.70703125</v>
      </c>
      <c r="H15">
        <v>-1.1885591072906543E-3</v>
      </c>
      <c r="I15">
        <v>7.8125E-3</v>
      </c>
    </row>
    <row r="16" spans="2:9" x14ac:dyDescent="0.25">
      <c r="B16">
        <v>8</v>
      </c>
      <c r="C16">
        <v>5.703125</v>
      </c>
      <c r="D16">
        <v>5.70703125</v>
      </c>
      <c r="E16">
        <v>6.3808584027273962E-3</v>
      </c>
      <c r="F16">
        <v>-1.1885591072906543E-3</v>
      </c>
      <c r="G16">
        <v>5.705078125</v>
      </c>
      <c r="H16">
        <v>2.5965574081250331E-3</v>
      </c>
      <c r="I16">
        <v>3.90625E-3</v>
      </c>
    </row>
    <row r="17" spans="2:9" x14ac:dyDescent="0.25">
      <c r="B17">
        <v>9</v>
      </c>
      <c r="C17">
        <v>5.705078125</v>
      </c>
      <c r="D17">
        <v>5.70703125</v>
      </c>
      <c r="E17">
        <v>2.5965574081250331E-3</v>
      </c>
      <c r="F17">
        <v>-1.1885591072906543E-3</v>
      </c>
      <c r="G17">
        <v>5.7060546875</v>
      </c>
      <c r="H17">
        <v>7.0410092313410999E-4</v>
      </c>
      <c r="I17">
        <v>1.953125E-3</v>
      </c>
    </row>
    <row r="18" spans="2:9" x14ac:dyDescent="0.25">
      <c r="B18">
        <v>10</v>
      </c>
      <c r="C18">
        <v>5.7060546875</v>
      </c>
      <c r="D18">
        <v>5.70703125</v>
      </c>
      <c r="E18">
        <v>7.0410092313410999E-4</v>
      </c>
      <c r="F18">
        <v>-1.1885591072906543E-3</v>
      </c>
      <c r="G18">
        <v>5.70654296875</v>
      </c>
      <c r="H18">
        <v>-2.4220366982463659E-4</v>
      </c>
      <c r="I18">
        <v>9.765625E-4</v>
      </c>
    </row>
    <row r="19" spans="2:9" x14ac:dyDescent="0.25">
      <c r="B19">
        <v>11</v>
      </c>
      <c r="C19">
        <v>5.7060546875</v>
      </c>
      <c r="D19">
        <v>5.70654296875</v>
      </c>
      <c r="E19">
        <v>7.0410092313410999E-4</v>
      </c>
      <c r="F19">
        <v>-2.4220366982463659E-4</v>
      </c>
      <c r="G19">
        <v>5.706298828125</v>
      </c>
      <c r="H19">
        <v>2.3095498483405308E-4</v>
      </c>
      <c r="I19">
        <v>4.8828125E-4</v>
      </c>
    </row>
    <row r="20" spans="2:9" x14ac:dyDescent="0.25">
      <c r="B20">
        <v>12</v>
      </c>
      <c r="C20">
        <v>5.706298828125</v>
      </c>
      <c r="D20">
        <v>5.70654296875</v>
      </c>
      <c r="E20">
        <v>2.3095498483405308E-4</v>
      </c>
      <c r="F20">
        <v>-2.4220366982463659E-4</v>
      </c>
      <c r="G20">
        <v>5.7064208984375</v>
      </c>
      <c r="H20">
        <v>-5.622753277645387E-6</v>
      </c>
      <c r="I20">
        <v>2.44140625E-4</v>
      </c>
    </row>
    <row r="21" spans="2:9" x14ac:dyDescent="0.25">
      <c r="B21">
        <v>13</v>
      </c>
      <c r="C21">
        <v>5.706298828125</v>
      </c>
      <c r="D21">
        <v>5.7064208984375</v>
      </c>
      <c r="E21">
        <v>2.3095498483405308E-4</v>
      </c>
      <c r="F21">
        <v>-5.622753277645387E-6</v>
      </c>
      <c r="G21">
        <v>5.70635986328125</v>
      </c>
      <c r="H21">
        <v>1.1266651312347165E-4</v>
      </c>
      <c r="I21">
        <v>1.220703125E-4</v>
      </c>
    </row>
    <row r="22" spans="2:9" x14ac:dyDescent="0.25">
      <c r="B22">
        <v>14</v>
      </c>
      <c r="C22">
        <v>5.70635986328125</v>
      </c>
      <c r="D22">
        <v>5.7064208984375</v>
      </c>
      <c r="E22">
        <v>1.1266651312347165E-4</v>
      </c>
      <c r="F22">
        <v>-5.622753277645387E-6</v>
      </c>
      <c r="G22">
        <v>5.706390380859375</v>
      </c>
      <c r="H22">
        <v>5.3521979254123053E-5</v>
      </c>
      <c r="I22">
        <v>6.103515625E-5</v>
      </c>
    </row>
    <row r="23" spans="2:9" x14ac:dyDescent="0.25">
      <c r="B23">
        <v>15</v>
      </c>
      <c r="C23">
        <v>5.706390380859375</v>
      </c>
      <c r="D23">
        <v>5.7064208984375</v>
      </c>
      <c r="E23">
        <v>5.3521979254123053E-5</v>
      </c>
      <c r="F23">
        <v>-5.622753277645387E-6</v>
      </c>
      <c r="G23">
        <v>5.7064056396484375</v>
      </c>
      <c r="H23">
        <v>2.3949637820486203E-5</v>
      </c>
      <c r="I23">
        <v>3.0517578125E-5</v>
      </c>
    </row>
    <row r="24" spans="2:9" x14ac:dyDescent="0.25">
      <c r="B24">
        <v>16</v>
      </c>
      <c r="C24">
        <v>5.7064056396484375</v>
      </c>
      <c r="D24">
        <v>5.7064208984375</v>
      </c>
      <c r="E24">
        <v>2.3949637820486203E-5</v>
      </c>
      <c r="F24">
        <v>-5.622753277645387E-6</v>
      </c>
      <c r="G24">
        <v>5.7064132690429688</v>
      </c>
      <c r="H24">
        <v>9.1634484795655169E-6</v>
      </c>
      <c r="I24">
        <v>1.52587890625E-5</v>
      </c>
    </row>
    <row r="25" spans="2:9" x14ac:dyDescent="0.25">
      <c r="B25">
        <v>17</v>
      </c>
      <c r="C25">
        <v>5.7064132690429688</v>
      </c>
      <c r="D25">
        <v>5.7064208984375</v>
      </c>
      <c r="E25">
        <v>9.1634484795655169E-6</v>
      </c>
      <c r="F25">
        <v>-5.622753277645387E-6</v>
      </c>
      <c r="G25">
        <v>5.7064170837402344</v>
      </c>
      <c r="H25">
        <v>1.7703491530518534E-6</v>
      </c>
      <c r="I25">
        <v>7.62939453125E-6</v>
      </c>
    </row>
    <row r="26" spans="2:9" x14ac:dyDescent="0.25">
      <c r="B26">
        <v>18</v>
      </c>
      <c r="C26">
        <v>5.7064170837402344</v>
      </c>
      <c r="D26">
        <v>5.7064208984375</v>
      </c>
      <c r="E26">
        <v>1.7703491530518534E-6</v>
      </c>
      <c r="F26">
        <v>-5.622753277645387E-6</v>
      </c>
      <c r="G26">
        <v>5.7064189910888672</v>
      </c>
      <c r="H26">
        <v>-1.9262016741627974E-6</v>
      </c>
      <c r="I26">
        <v>3.814697265625E-6</v>
      </c>
    </row>
    <row r="27" spans="2:9" x14ac:dyDescent="0.25">
      <c r="B27">
        <v>19</v>
      </c>
      <c r="C27">
        <v>5.7064170837402344</v>
      </c>
      <c r="D27">
        <v>5.7064189910888672</v>
      </c>
      <c r="E27">
        <v>1.7703491530518534E-6</v>
      </c>
      <c r="F27">
        <v>-1.9262016741627974E-6</v>
      </c>
      <c r="G27">
        <v>5.7064180374145508</v>
      </c>
      <c r="H27">
        <v>-7.7926163744024279E-8</v>
      </c>
      <c r="I27">
        <v>1.9073486328125E-6</v>
      </c>
    </row>
    <row r="28" spans="2:9" x14ac:dyDescent="0.25">
      <c r="B28">
        <v>20</v>
      </c>
      <c r="C28">
        <v>5.7064170837402344</v>
      </c>
      <c r="D28">
        <v>5.7064180374145508</v>
      </c>
      <c r="E28">
        <v>1.7703491530518534E-6</v>
      </c>
      <c r="F28">
        <v>-7.7926163744024279E-8</v>
      </c>
      <c r="G28">
        <v>5.7064175605773926</v>
      </c>
      <c r="H28">
        <v>8.4621151907882108E-7</v>
      </c>
      <c r="I28">
        <v>9.5367431640625E-7</v>
      </c>
    </row>
    <row r="29" spans="2:9" x14ac:dyDescent="0.25">
      <c r="B29">
        <v>21</v>
      </c>
      <c r="C29">
        <v>5.7064175605773926</v>
      </c>
      <c r="D29">
        <v>5.7064180374145508</v>
      </c>
      <c r="E29">
        <v>8.4621151907882108E-7</v>
      </c>
      <c r="F29">
        <v>-7.7926163744024279E-8</v>
      </c>
      <c r="G29">
        <v>5.7064177989959717</v>
      </c>
      <c r="H29">
        <v>3.8414268366260274E-7</v>
      </c>
      <c r="I29">
        <v>4.76837158203125E-7</v>
      </c>
    </row>
    <row r="30" spans="2:9" x14ac:dyDescent="0.25">
      <c r="B30">
        <v>22</v>
      </c>
      <c r="C30">
        <v>5.7064177989959717</v>
      </c>
      <c r="D30">
        <v>5.7064180374145508</v>
      </c>
      <c r="E30">
        <v>3.8414268366260274E-7</v>
      </c>
      <c r="F30">
        <v>-7.7926163744024279E-8</v>
      </c>
      <c r="G30">
        <v>5.7064179182052612</v>
      </c>
      <c r="H30">
        <v>1.5310826162462376E-7</v>
      </c>
      <c r="I30">
        <v>2.384185791015625E-7</v>
      </c>
    </row>
    <row r="31" spans="2:9" x14ac:dyDescent="0.25">
      <c r="B31">
        <v>23</v>
      </c>
      <c r="C31">
        <v>5.7064179182052612</v>
      </c>
      <c r="D31">
        <v>5.7064180374145508</v>
      </c>
      <c r="E31">
        <v>1.5310826162462376E-7</v>
      </c>
      <c r="F31">
        <v>-7.7926163744024279E-8</v>
      </c>
      <c r="G31">
        <v>5.706417977809906</v>
      </c>
      <c r="H31">
        <v>3.7591049384388953E-8</v>
      </c>
      <c r="I31">
        <v>1.1920928955078125E-7</v>
      </c>
    </row>
    <row r="32" spans="2:9" x14ac:dyDescent="0.25">
      <c r="B32">
        <v>24</v>
      </c>
      <c r="C32">
        <v>5.706417977809906</v>
      </c>
      <c r="D32">
        <v>5.7064180374145508</v>
      </c>
      <c r="E32">
        <v>3.7591049384388953E-8</v>
      </c>
      <c r="F32">
        <v>-7.7926163744024279E-8</v>
      </c>
      <c r="G32">
        <v>5.7064180076122284</v>
      </c>
      <c r="H32">
        <v>-2.0167556957773058E-8</v>
      </c>
      <c r="I32">
        <v>5.9604644775390625E-8</v>
      </c>
    </row>
    <row r="33" spans="2:9" x14ac:dyDescent="0.25">
      <c r="B33">
        <v>25</v>
      </c>
      <c r="C33">
        <v>5.706417977809906</v>
      </c>
      <c r="D33">
        <v>5.7064180076122284</v>
      </c>
      <c r="E33">
        <v>3.7591049384388953E-8</v>
      </c>
      <c r="F33">
        <v>-2.0167556957773058E-8</v>
      </c>
      <c r="G33">
        <v>5.7064179927110672</v>
      </c>
      <c r="H33">
        <v>8.7117462133079471E-9</v>
      </c>
      <c r="I33">
        <v>2.9802322387695313E-8</v>
      </c>
    </row>
    <row r="34" spans="2:9" x14ac:dyDescent="0.25">
      <c r="B34">
        <v>26</v>
      </c>
      <c r="C34">
        <v>5.7064179927110672</v>
      </c>
      <c r="D34">
        <v>5.7064180076122284</v>
      </c>
      <c r="E34">
        <v>8.7117462133079471E-9</v>
      </c>
      <c r="F34">
        <v>-2.0167556957773058E-8</v>
      </c>
      <c r="G34">
        <v>5.7064180001616478</v>
      </c>
      <c r="H34">
        <v>-5.7279052612102532E-9</v>
      </c>
      <c r="I34">
        <v>1.4901161193847656E-8</v>
      </c>
    </row>
    <row r="35" spans="2:9" x14ac:dyDescent="0.25">
      <c r="B35">
        <v>27</v>
      </c>
      <c r="C35">
        <v>5.7064179927110672</v>
      </c>
      <c r="D35">
        <v>5.7064180001616478</v>
      </c>
      <c r="E35">
        <v>8.7117462133079471E-9</v>
      </c>
      <c r="F35">
        <v>-5.7279052612102532E-9</v>
      </c>
      <c r="G35">
        <v>5.7064179964363575</v>
      </c>
      <c r="H35">
        <v>1.4919203650265445E-9</v>
      </c>
      <c r="I35">
        <v>7.4505805969238281E-9</v>
      </c>
    </row>
    <row r="36" spans="2:9" x14ac:dyDescent="0.25">
      <c r="B36">
        <v>28</v>
      </c>
      <c r="C36">
        <v>5.7064179964363575</v>
      </c>
      <c r="D36">
        <v>5.7064180001616478</v>
      </c>
      <c r="E36">
        <v>1.4919203650265445E-9</v>
      </c>
      <c r="F36">
        <v>-5.7279052612102532E-9</v>
      </c>
      <c r="G36">
        <v>5.7064179982990026</v>
      </c>
      <c r="H36">
        <v>-2.1179924480918544E-9</v>
      </c>
      <c r="I36">
        <v>3.7252902984619141E-9</v>
      </c>
    </row>
    <row r="39" spans="2:9" ht="18.75" x14ac:dyDescent="0.25">
      <c r="B39" s="3" t="s">
        <v>26</v>
      </c>
      <c r="C39" s="3"/>
      <c r="D39" s="3"/>
      <c r="E39" s="3"/>
      <c r="F39" s="3"/>
      <c r="G39" s="3"/>
      <c r="H39" s="3"/>
      <c r="I39" s="3"/>
    </row>
    <row r="40" spans="2:9" x14ac:dyDescent="0.25">
      <c r="B40" s="14" t="s">
        <v>27</v>
      </c>
      <c r="C40" s="14"/>
      <c r="D40" s="14"/>
      <c r="E40" s="14"/>
    </row>
    <row r="41" spans="2:9" x14ac:dyDescent="0.25">
      <c r="B41" s="14" t="s">
        <v>28</v>
      </c>
      <c r="C41" s="14"/>
      <c r="D41" s="14"/>
      <c r="E41" s="14"/>
    </row>
    <row r="42" spans="2:9" x14ac:dyDescent="0.25">
      <c r="B42" s="14" t="s">
        <v>29</v>
      </c>
      <c r="C42" s="14"/>
      <c r="D42" s="14"/>
      <c r="E42" s="14"/>
    </row>
    <row r="43" spans="2:9" x14ac:dyDescent="0.25">
      <c r="B43" s="14" t="s">
        <v>12</v>
      </c>
      <c r="C43" s="14"/>
      <c r="D43" s="14"/>
      <c r="E43" s="14"/>
    </row>
    <row r="45" spans="2:9" x14ac:dyDescent="0.25">
      <c r="B45" s="15" t="s">
        <v>3</v>
      </c>
      <c r="C45" s="15" t="s">
        <v>14</v>
      </c>
      <c r="D45" s="15" t="s">
        <v>15</v>
      </c>
      <c r="E45" s="15" t="s">
        <v>16</v>
      </c>
      <c r="F45" s="15" t="s">
        <v>17</v>
      </c>
      <c r="G45" s="15" t="s">
        <v>18</v>
      </c>
    </row>
    <row r="46" spans="2:9" x14ac:dyDescent="0.25">
      <c r="B46">
        <v>0</v>
      </c>
      <c r="C46">
        <v>5</v>
      </c>
      <c r="D46">
        <v>1.2954164323118698</v>
      </c>
      <c r="E46">
        <v>-1.7017154233204006</v>
      </c>
      <c r="F46">
        <v>5.7612415181524552</v>
      </c>
      <c r="G46">
        <v>0.76124151815245522</v>
      </c>
    </row>
    <row r="47" spans="2:9" x14ac:dyDescent="0.25">
      <c r="B47">
        <v>1</v>
      </c>
      <c r="C47">
        <v>5.7612415181524552</v>
      </c>
      <c r="D47">
        <v>-0.1065617807394954</v>
      </c>
      <c r="E47">
        <v>-1.9492094998702132</v>
      </c>
      <c r="F47">
        <v>5.7065722890385038</v>
      </c>
      <c r="G47">
        <v>5.4669229113951445E-2</v>
      </c>
    </row>
    <row r="48" spans="2:9" x14ac:dyDescent="0.25">
      <c r="B48">
        <v>2</v>
      </c>
      <c r="C48">
        <v>5.7065722890385038</v>
      </c>
      <c r="D48">
        <v>-2.9902894015521042E-4</v>
      </c>
      <c r="E48">
        <v>-1.9380901380525537</v>
      </c>
      <c r="F48">
        <v>5.7064179985159509</v>
      </c>
      <c r="G48">
        <v>1.5429052255289122E-4</v>
      </c>
    </row>
    <row r="49" spans="2:9" x14ac:dyDescent="0.25">
      <c r="B49">
        <v>3</v>
      </c>
      <c r="C49">
        <v>5.7064179985159509</v>
      </c>
      <c r="D49">
        <v>-2.5384503388181656E-9</v>
      </c>
      <c r="E49">
        <v>-1.9380572318163194</v>
      </c>
      <c r="F49">
        <v>5.7064179972061595</v>
      </c>
      <c r="G49">
        <v>1.3097913864612565E-9</v>
      </c>
    </row>
    <row r="50" spans="2:9" x14ac:dyDescent="0.25">
      <c r="B50">
        <v>4</v>
      </c>
      <c r="C50">
        <v>5.7064179972061595</v>
      </c>
      <c r="D50">
        <v>0</v>
      </c>
      <c r="E50">
        <v>-1.938057231536938</v>
      </c>
      <c r="F50">
        <v>5.7064179972061595</v>
      </c>
      <c r="G50">
        <v>0</v>
      </c>
    </row>
    <row r="53" spans="2:9" ht="18.75" x14ac:dyDescent="0.3">
      <c r="B53" s="16" t="s">
        <v>30</v>
      </c>
      <c r="C53" s="16"/>
      <c r="D53" s="16"/>
      <c r="E53" s="16"/>
      <c r="F53" s="16"/>
      <c r="G53" s="16"/>
      <c r="H53" s="16"/>
      <c r="I53" s="16"/>
    </row>
    <row r="54" spans="2:9" x14ac:dyDescent="0.25">
      <c r="B54" s="17" t="s">
        <v>27</v>
      </c>
      <c r="C54" s="17"/>
      <c r="D54" s="17"/>
      <c r="E54" s="17"/>
    </row>
    <row r="55" spans="2:9" x14ac:dyDescent="0.25">
      <c r="B55" s="17" t="s">
        <v>31</v>
      </c>
      <c r="C55" s="17"/>
      <c r="D55" s="17"/>
      <c r="E55" s="17"/>
    </row>
    <row r="56" spans="2:9" x14ac:dyDescent="0.25">
      <c r="B56" s="17" t="s">
        <v>12</v>
      </c>
      <c r="C56" s="17"/>
      <c r="D56" s="17"/>
      <c r="E56" s="17"/>
    </row>
    <row r="58" spans="2:9" x14ac:dyDescent="0.25">
      <c r="B58" s="18" t="s">
        <v>3</v>
      </c>
      <c r="C58" s="18" t="s">
        <v>20</v>
      </c>
      <c r="D58" s="18" t="s">
        <v>14</v>
      </c>
      <c r="E58" s="18" t="s">
        <v>21</v>
      </c>
      <c r="F58" s="18" t="s">
        <v>15</v>
      </c>
      <c r="G58" s="18" t="s">
        <v>22</v>
      </c>
      <c r="H58" s="18" t="s">
        <v>18</v>
      </c>
    </row>
    <row r="59" spans="2:9" x14ac:dyDescent="0.25">
      <c r="B59">
        <v>0</v>
      </c>
      <c r="C59">
        <v>5</v>
      </c>
      <c r="D59">
        <v>6</v>
      </c>
      <c r="E59">
        <v>1.2954164323118698</v>
      </c>
      <c r="F59">
        <v>-0.57663997582039839</v>
      </c>
      <c r="G59">
        <v>5.6919751064575523</v>
      </c>
      <c r="H59">
        <v>0.30802489354244766</v>
      </c>
    </row>
    <row r="60" spans="2:9" x14ac:dyDescent="0.25">
      <c r="B60">
        <v>1</v>
      </c>
      <c r="C60">
        <v>6</v>
      </c>
      <c r="D60">
        <v>5.6919751064575523</v>
      </c>
      <c r="E60">
        <v>-0.57663997582039839</v>
      </c>
      <c r="F60">
        <v>2.7968721321341095E-2</v>
      </c>
      <c r="G60">
        <v>5.7062240950153615</v>
      </c>
      <c r="H60">
        <v>1.4248988557809206E-2</v>
      </c>
    </row>
    <row r="61" spans="2:9" x14ac:dyDescent="0.25">
      <c r="B61">
        <v>2</v>
      </c>
      <c r="C61">
        <v>5.6919751064575523</v>
      </c>
      <c r="D61">
        <v>5.7062240950153615</v>
      </c>
      <c r="E61">
        <v>2.7968721321341095E-2</v>
      </c>
      <c r="F61">
        <v>3.7578953277472849E-4</v>
      </c>
      <c r="G61">
        <v>5.7064181527107776</v>
      </c>
      <c r="H61">
        <v>1.940576954160278E-4</v>
      </c>
    </row>
    <row r="62" spans="2:9" x14ac:dyDescent="0.25">
      <c r="B62">
        <v>3</v>
      </c>
      <c r="C62">
        <v>5.7062240950153615</v>
      </c>
      <c r="D62">
        <v>5.7064181527107776</v>
      </c>
      <c r="E62">
        <v>3.7578953277472849E-4</v>
      </c>
      <c r="F62">
        <v>-3.0137685236297784E-7</v>
      </c>
      <c r="G62">
        <v>5.7064179972044995</v>
      </c>
      <c r="H62">
        <v>1.5550627807670026E-7</v>
      </c>
    </row>
    <row r="63" spans="2:9" x14ac:dyDescent="0.25">
      <c r="B63">
        <v>4</v>
      </c>
      <c r="C63">
        <v>5.7064181527107776</v>
      </c>
      <c r="D63">
        <v>5.7064179972044995</v>
      </c>
      <c r="E63">
        <v>-3.0137685236297784E-7</v>
      </c>
      <c r="F63">
        <v>3.2172042807587786E-12</v>
      </c>
      <c r="G63">
        <v>5.7064179972061595</v>
      </c>
      <c r="H63">
        <v>1.6600054664195341E-12</v>
      </c>
    </row>
    <row r="64" spans="2:9" x14ac:dyDescent="0.25">
      <c r="B64">
        <v>5</v>
      </c>
      <c r="C64">
        <v>5.7064179972044995</v>
      </c>
      <c r="D64">
        <v>5.7064179972061595</v>
      </c>
      <c r="E64">
        <v>3.2172042807587786E-12</v>
      </c>
      <c r="F64">
        <v>0</v>
      </c>
      <c r="G64">
        <v>5.7064179972061595</v>
      </c>
      <c r="H64">
        <v>0</v>
      </c>
    </row>
  </sheetData>
  <mergeCells count="13">
    <mergeCell ref="B56:E56"/>
    <mergeCell ref="B3:E3"/>
    <mergeCell ref="B4:E4"/>
    <mergeCell ref="B5:E5"/>
    <mergeCell ref="B41:E41"/>
    <mergeCell ref="B42:E42"/>
    <mergeCell ref="B43:E43"/>
    <mergeCell ref="B53:I53"/>
    <mergeCell ref="B54:E54"/>
    <mergeCell ref="B55:E55"/>
    <mergeCell ref="B2:I2"/>
    <mergeCell ref="B39:I39"/>
    <mergeCell ref="B40:E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B3A0-500F-42C1-B289-997B955FED51}">
  <dimension ref="B2:R66"/>
  <sheetViews>
    <sheetView topLeftCell="J40" zoomScale="97" workbookViewId="0">
      <selection activeCell="A3" sqref="A3"/>
    </sheetView>
  </sheetViews>
  <sheetFormatPr baseColWidth="10" defaultRowHeight="15" x14ac:dyDescent="0.25"/>
  <cols>
    <col min="2" max="2" width="13.5703125" customWidth="1"/>
    <col min="3" max="3" width="15.42578125" customWidth="1"/>
    <col min="4" max="4" width="14.140625" customWidth="1"/>
    <col min="5" max="5" width="20" customWidth="1"/>
    <col min="6" max="6" width="28.85546875" customWidth="1"/>
    <col min="7" max="7" width="49.42578125" customWidth="1"/>
    <col min="8" max="8" width="21.28515625" customWidth="1"/>
    <col min="9" max="9" width="14.7109375" bestFit="1" customWidth="1"/>
    <col min="11" max="11" width="11.7109375" bestFit="1" customWidth="1"/>
    <col min="12" max="12" width="16" customWidth="1"/>
    <col min="13" max="13" width="20.5703125" customWidth="1"/>
    <col min="14" max="14" width="16.140625" bestFit="1" customWidth="1"/>
    <col min="15" max="15" width="27.5703125" customWidth="1"/>
    <col min="16" max="16" width="51.5703125" customWidth="1"/>
    <col min="17" max="17" width="20" customWidth="1"/>
    <col min="18" max="18" width="14.7109375" bestFit="1" customWidth="1"/>
  </cols>
  <sheetData>
    <row r="2" spans="2:18" ht="18.75" x14ac:dyDescent="0.25">
      <c r="B2" s="3" t="s">
        <v>43</v>
      </c>
      <c r="C2" s="3"/>
      <c r="D2" s="3"/>
      <c r="E2" s="3"/>
      <c r="F2" s="3"/>
      <c r="G2" s="3"/>
      <c r="H2" s="3"/>
      <c r="I2" s="3"/>
      <c r="K2" s="3" t="s">
        <v>51</v>
      </c>
      <c r="L2" s="3"/>
      <c r="M2" s="3"/>
      <c r="N2" s="3"/>
      <c r="O2" s="3"/>
      <c r="P2" s="3"/>
      <c r="Q2" s="3"/>
      <c r="R2" s="3"/>
    </row>
    <row r="3" spans="2:18" x14ac:dyDescent="0.25">
      <c r="B3" s="17" t="s">
        <v>39</v>
      </c>
      <c r="C3" s="17"/>
      <c r="D3" s="17"/>
      <c r="K3" s="23" t="s">
        <v>39</v>
      </c>
      <c r="L3" s="23"/>
      <c r="M3" s="23"/>
    </row>
    <row r="4" spans="2:18" x14ac:dyDescent="0.25">
      <c r="B4" s="17" t="s">
        <v>42</v>
      </c>
      <c r="C4" s="17"/>
      <c r="D4" s="17"/>
      <c r="K4" s="23" t="s">
        <v>40</v>
      </c>
      <c r="L4" s="23"/>
      <c r="M4" s="23"/>
    </row>
    <row r="5" spans="2:18" x14ac:dyDescent="0.25">
      <c r="B5" s="17" t="s">
        <v>41</v>
      </c>
      <c r="C5" s="17"/>
      <c r="D5" s="17"/>
      <c r="K5" s="23" t="s">
        <v>41</v>
      </c>
      <c r="L5" s="23"/>
      <c r="M5" s="23"/>
    </row>
    <row r="7" spans="2:18" x14ac:dyDescent="0.25">
      <c r="B7" s="18" t="s">
        <v>3</v>
      </c>
      <c r="C7" s="20" t="s">
        <v>4</v>
      </c>
      <c r="D7" s="20" t="s">
        <v>5</v>
      </c>
      <c r="E7" s="20" t="s">
        <v>6</v>
      </c>
      <c r="F7" s="20" t="s">
        <v>7</v>
      </c>
      <c r="G7" s="20" t="s">
        <v>8</v>
      </c>
      <c r="H7" s="20" t="s">
        <v>9</v>
      </c>
      <c r="I7" s="20" t="s">
        <v>10</v>
      </c>
      <c r="K7" s="10" t="s">
        <v>3</v>
      </c>
      <c r="L7" s="24" t="s">
        <v>4</v>
      </c>
      <c r="M7" s="24" t="s">
        <v>5</v>
      </c>
      <c r="N7" s="24" t="s">
        <v>6</v>
      </c>
      <c r="O7" s="24" t="s">
        <v>7</v>
      </c>
      <c r="P7" s="24" t="s">
        <v>8</v>
      </c>
      <c r="Q7" s="24" t="s">
        <v>9</v>
      </c>
      <c r="R7" s="24" t="s">
        <v>10</v>
      </c>
    </row>
    <row r="8" spans="2:18" x14ac:dyDescent="0.25">
      <c r="B8">
        <v>0</v>
      </c>
      <c r="C8">
        <v>0</v>
      </c>
      <c r="D8">
        <v>1</v>
      </c>
      <c r="E8">
        <v>1</v>
      </c>
      <c r="F8">
        <v>-1.6065306597126332</v>
      </c>
      <c r="G8">
        <v>0.5</v>
      </c>
      <c r="H8">
        <v>-0.56970019576785114</v>
      </c>
      <c r="I8">
        <v>1</v>
      </c>
      <c r="K8">
        <v>0</v>
      </c>
      <c r="L8">
        <v>1.5</v>
      </c>
      <c r="M8">
        <v>2</v>
      </c>
      <c r="N8">
        <v>-1.1878247436672833</v>
      </c>
      <c r="O8">
        <v>1.5284822353142307</v>
      </c>
      <c r="P8">
        <v>1.75</v>
      </c>
      <c r="Q8">
        <v>-0.16726493526543162</v>
      </c>
      <c r="R8">
        <v>0.5</v>
      </c>
    </row>
    <row r="9" spans="2:18" x14ac:dyDescent="0.25">
      <c r="B9">
        <v>1</v>
      </c>
      <c r="C9">
        <v>0</v>
      </c>
      <c r="D9">
        <v>0.5</v>
      </c>
      <c r="E9">
        <v>1</v>
      </c>
      <c r="F9">
        <v>-0.56970019576785114</v>
      </c>
      <c r="G9">
        <v>0.25</v>
      </c>
      <c r="H9">
        <v>0.2104689435884628</v>
      </c>
      <c r="I9">
        <v>0.5</v>
      </c>
      <c r="K9">
        <v>1</v>
      </c>
      <c r="L9">
        <v>1.75</v>
      </c>
      <c r="M9">
        <v>2</v>
      </c>
      <c r="N9">
        <v>-0.16726493526543162</v>
      </c>
      <c r="O9">
        <v>1.5284822353142307</v>
      </c>
      <c r="P9">
        <v>1.875</v>
      </c>
      <c r="Q9">
        <v>0.59005834371437871</v>
      </c>
      <c r="R9">
        <v>0.25</v>
      </c>
    </row>
    <row r="10" spans="2:18" x14ac:dyDescent="0.25">
      <c r="B10">
        <v>2</v>
      </c>
      <c r="C10">
        <v>0.25</v>
      </c>
      <c r="D10">
        <v>0.5</v>
      </c>
      <c r="E10">
        <v>0.2104689435884628</v>
      </c>
      <c r="F10">
        <v>-0.56970019576785114</v>
      </c>
      <c r="G10">
        <v>0.375</v>
      </c>
      <c r="H10">
        <v>-0.18884784474411886</v>
      </c>
      <c r="I10">
        <v>0.25</v>
      </c>
      <c r="K10">
        <v>2</v>
      </c>
      <c r="L10">
        <v>1.75</v>
      </c>
      <c r="M10">
        <v>1.875</v>
      </c>
      <c r="N10">
        <v>-0.16726493526543162</v>
      </c>
      <c r="O10">
        <v>0.59005834371437871</v>
      </c>
      <c r="P10">
        <v>1.8125</v>
      </c>
      <c r="Q10">
        <v>0.18952259218409928</v>
      </c>
      <c r="R10">
        <v>0.125</v>
      </c>
    </row>
    <row r="11" spans="2:18" x14ac:dyDescent="0.25">
      <c r="B11">
        <v>3</v>
      </c>
      <c r="C11">
        <v>0.25</v>
      </c>
      <c r="D11">
        <v>0.375</v>
      </c>
      <c r="E11">
        <v>0.2104689435884628</v>
      </c>
      <c r="F11">
        <v>-0.18884784474411886</v>
      </c>
      <c r="G11">
        <v>0.3125</v>
      </c>
      <c r="H11">
        <v>9.4877610051344874E-3</v>
      </c>
      <c r="I11">
        <v>0.125</v>
      </c>
      <c r="K11">
        <v>3</v>
      </c>
      <c r="L11">
        <v>1.75</v>
      </c>
      <c r="M11">
        <v>1.8125</v>
      </c>
      <c r="N11">
        <v>-0.16726493526543162</v>
      </c>
      <c r="O11">
        <v>0.18952259218409928</v>
      </c>
      <c r="P11">
        <v>1.78125</v>
      </c>
      <c r="Q11">
        <v>5.7561880955994127E-3</v>
      </c>
      <c r="R11">
        <v>6.25E-2</v>
      </c>
    </row>
    <row r="12" spans="2:18" x14ac:dyDescent="0.25">
      <c r="B12">
        <v>4</v>
      </c>
      <c r="C12">
        <v>0.3125</v>
      </c>
      <c r="D12">
        <v>0.375</v>
      </c>
      <c r="E12">
        <v>9.4877610051344874E-3</v>
      </c>
      <c r="F12">
        <v>-0.18884784474411886</v>
      </c>
      <c r="G12">
        <v>0.34375</v>
      </c>
      <c r="H12">
        <v>-9.0135220394872428E-2</v>
      </c>
      <c r="I12">
        <v>6.25E-2</v>
      </c>
      <c r="K12">
        <v>4</v>
      </c>
      <c r="L12">
        <v>1.75</v>
      </c>
      <c r="M12">
        <v>1.78125</v>
      </c>
      <c r="N12">
        <v>-0.16726493526543162</v>
      </c>
      <c r="O12">
        <v>5.7561880955994127E-3</v>
      </c>
      <c r="P12">
        <v>1.765625</v>
      </c>
      <c r="Q12">
        <v>-8.2085517878812908E-2</v>
      </c>
      <c r="R12">
        <v>3.125E-2</v>
      </c>
    </row>
    <row r="13" spans="2:18" x14ac:dyDescent="0.25">
      <c r="B13">
        <v>5</v>
      </c>
      <c r="C13">
        <v>0.3125</v>
      </c>
      <c r="D13">
        <v>0.34375</v>
      </c>
      <c r="E13">
        <v>9.4877610051344874E-3</v>
      </c>
      <c r="F13">
        <v>-9.0135220394872428E-2</v>
      </c>
      <c r="G13">
        <v>0.328125</v>
      </c>
      <c r="H13">
        <v>-4.0422049298882712E-2</v>
      </c>
      <c r="I13">
        <v>3.125E-2</v>
      </c>
      <c r="K13">
        <v>5</v>
      </c>
      <c r="L13">
        <v>1.765625</v>
      </c>
      <c r="M13">
        <v>1.78125</v>
      </c>
      <c r="N13">
        <v>-8.2085517878812908E-2</v>
      </c>
      <c r="O13">
        <v>5.7561880955994127E-3</v>
      </c>
      <c r="P13">
        <v>1.7734375</v>
      </c>
      <c r="Q13">
        <v>-3.8498954300466792E-2</v>
      </c>
      <c r="R13">
        <v>1.5625E-2</v>
      </c>
    </row>
    <row r="14" spans="2:18" x14ac:dyDescent="0.25">
      <c r="B14">
        <v>6</v>
      </c>
      <c r="C14">
        <v>0.3125</v>
      </c>
      <c r="D14">
        <v>0.328125</v>
      </c>
      <c r="E14">
        <v>9.4877610051344874E-3</v>
      </c>
      <c r="F14">
        <v>-4.0422049298882712E-2</v>
      </c>
      <c r="G14">
        <v>0.3203125</v>
      </c>
      <c r="H14">
        <v>-1.5489782308668598E-2</v>
      </c>
      <c r="I14">
        <v>1.5625E-2</v>
      </c>
      <c r="K14">
        <v>6</v>
      </c>
      <c r="L14">
        <v>1.7734375</v>
      </c>
      <c r="M14">
        <v>1.78125</v>
      </c>
      <c r="N14">
        <v>-3.8498954300466792E-2</v>
      </c>
      <c r="O14">
        <v>5.7561880955994127E-3</v>
      </c>
      <c r="P14">
        <v>1.77734375</v>
      </c>
      <c r="Q14">
        <v>-1.6455143251628002E-2</v>
      </c>
      <c r="R14">
        <v>7.8125E-3</v>
      </c>
    </row>
    <row r="15" spans="2:18" x14ac:dyDescent="0.25">
      <c r="B15">
        <v>7</v>
      </c>
      <c r="C15">
        <v>0.3125</v>
      </c>
      <c r="D15">
        <v>0.3203125</v>
      </c>
      <c r="E15">
        <v>9.4877610051344874E-3</v>
      </c>
      <c r="F15">
        <v>-1.5489782308668598E-2</v>
      </c>
      <c r="G15">
        <v>0.31640625</v>
      </c>
      <c r="H15">
        <v>-3.006427010124435E-3</v>
      </c>
      <c r="I15">
        <v>7.8125E-3</v>
      </c>
      <c r="K15">
        <v>7</v>
      </c>
      <c r="L15">
        <v>1.77734375</v>
      </c>
      <c r="M15">
        <v>1.78125</v>
      </c>
      <c r="N15">
        <v>-1.6455143251628002E-2</v>
      </c>
      <c r="O15">
        <v>5.7561880955994127E-3</v>
      </c>
      <c r="P15">
        <v>1.779296875</v>
      </c>
      <c r="Q15">
        <v>-5.3704410824852999E-3</v>
      </c>
      <c r="R15">
        <v>3.90625E-3</v>
      </c>
    </row>
    <row r="16" spans="2:18" x14ac:dyDescent="0.25">
      <c r="B16">
        <v>8</v>
      </c>
      <c r="C16">
        <v>0.3125</v>
      </c>
      <c r="D16">
        <v>0.31640625</v>
      </c>
      <c r="E16">
        <v>9.4877610051344874E-3</v>
      </c>
      <c r="F16">
        <v>-3.006427010124435E-3</v>
      </c>
      <c r="G16">
        <v>0.314453125</v>
      </c>
      <c r="H16">
        <v>3.239343334866418E-3</v>
      </c>
      <c r="I16">
        <v>3.90625E-3</v>
      </c>
      <c r="K16">
        <v>8</v>
      </c>
      <c r="L16">
        <v>1.779296875</v>
      </c>
      <c r="M16">
        <v>1.78125</v>
      </c>
      <c r="N16">
        <v>-5.3704410824852999E-3</v>
      </c>
      <c r="O16">
        <v>5.7561880955994127E-3</v>
      </c>
      <c r="P16">
        <v>1.7802734375</v>
      </c>
      <c r="Q16">
        <v>1.8762969750696357E-4</v>
      </c>
      <c r="R16">
        <v>1.953125E-3</v>
      </c>
    </row>
    <row r="17" spans="2:18" x14ac:dyDescent="0.25">
      <c r="B17">
        <v>9</v>
      </c>
      <c r="C17">
        <v>0.314453125</v>
      </c>
      <c r="D17">
        <v>0.31640625</v>
      </c>
      <c r="E17">
        <v>3.239343334866418E-3</v>
      </c>
      <c r="F17">
        <v>-3.006427010124435E-3</v>
      </c>
      <c r="G17">
        <v>0.3154296875</v>
      </c>
      <c r="H17">
        <v>1.1612344203659752E-4</v>
      </c>
      <c r="I17">
        <v>1.953125E-3</v>
      </c>
      <c r="K17">
        <v>9</v>
      </c>
      <c r="L17">
        <v>1.779296875</v>
      </c>
      <c r="M17">
        <v>1.7802734375</v>
      </c>
      <c r="N17">
        <v>-5.3704410824852999E-3</v>
      </c>
      <c r="O17">
        <v>1.8762969750696357E-4</v>
      </c>
      <c r="P17">
        <v>1.77978515625</v>
      </c>
      <c r="Q17">
        <v>-2.5927162781558266E-3</v>
      </c>
      <c r="R17">
        <v>9.765625E-4</v>
      </c>
    </row>
    <row r="18" spans="2:18" x14ac:dyDescent="0.25">
      <c r="B18">
        <v>10</v>
      </c>
      <c r="C18">
        <v>0.3154296875</v>
      </c>
      <c r="D18">
        <v>0.31640625</v>
      </c>
      <c r="E18">
        <v>1.1612344203659752E-4</v>
      </c>
      <c r="F18">
        <v>-3.006427010124435E-3</v>
      </c>
      <c r="G18">
        <v>0.31591796875</v>
      </c>
      <c r="H18">
        <v>-1.4452359395975556E-3</v>
      </c>
      <c r="I18">
        <v>9.765625E-4</v>
      </c>
      <c r="K18">
        <v>10</v>
      </c>
      <c r="L18">
        <v>1.77978515625</v>
      </c>
      <c r="M18">
        <v>1.7802734375</v>
      </c>
      <c r="N18">
        <v>-2.5927162781558266E-3</v>
      </c>
      <c r="O18">
        <v>1.8762969750696357E-4</v>
      </c>
      <c r="P18">
        <v>1.780029296875</v>
      </c>
      <c r="Q18">
        <v>-1.2028709825662176E-3</v>
      </c>
      <c r="R18">
        <v>4.8828125E-4</v>
      </c>
    </row>
    <row r="19" spans="2:18" x14ac:dyDescent="0.25">
      <c r="B19">
        <v>11</v>
      </c>
      <c r="C19">
        <v>0.3154296875</v>
      </c>
      <c r="D19">
        <v>0.31591796875</v>
      </c>
      <c r="E19">
        <v>1.1612344203659752E-4</v>
      </c>
      <c r="F19">
        <v>-1.4452359395975556E-3</v>
      </c>
      <c r="G19">
        <v>0.315673828125</v>
      </c>
      <c r="H19">
        <v>-6.6457722824031507E-4</v>
      </c>
      <c r="I19">
        <v>4.8828125E-4</v>
      </c>
      <c r="K19">
        <v>11</v>
      </c>
      <c r="L19">
        <v>1.780029296875</v>
      </c>
      <c r="M19">
        <v>1.7802734375</v>
      </c>
      <c r="N19">
        <v>-1.2028709825662176E-3</v>
      </c>
      <c r="O19">
        <v>1.8762969750696357E-4</v>
      </c>
      <c r="P19">
        <v>1.7801513671875</v>
      </c>
      <c r="Q19">
        <v>-5.0770257131826924E-4</v>
      </c>
      <c r="R19">
        <v>2.44140625E-4</v>
      </c>
    </row>
    <row r="20" spans="2:18" x14ac:dyDescent="0.25">
      <c r="B20">
        <v>12</v>
      </c>
      <c r="C20">
        <v>0.3154296875</v>
      </c>
      <c r="D20">
        <v>0.315673828125</v>
      </c>
      <c r="E20">
        <v>1.1612344203659752E-4</v>
      </c>
      <c r="F20">
        <v>-6.6457722824031507E-4</v>
      </c>
      <c r="G20">
        <v>0.3155517578125</v>
      </c>
      <c r="H20">
        <v>-2.7423213053778817E-4</v>
      </c>
      <c r="I20">
        <v>2.44140625E-4</v>
      </c>
      <c r="K20">
        <v>12</v>
      </c>
      <c r="L20">
        <v>1.7801513671875</v>
      </c>
      <c r="M20">
        <v>1.7802734375</v>
      </c>
      <c r="N20">
        <v>-5.0770257131826924E-4</v>
      </c>
      <c r="O20">
        <v>1.8762969750696357E-4</v>
      </c>
      <c r="P20">
        <v>1.78021240234375</v>
      </c>
      <c r="Q20">
        <v>-1.6005691981924031E-4</v>
      </c>
      <c r="R20">
        <v>1.220703125E-4</v>
      </c>
    </row>
    <row r="21" spans="2:18" x14ac:dyDescent="0.25">
      <c r="B21">
        <v>13</v>
      </c>
      <c r="C21">
        <v>0.3154296875</v>
      </c>
      <c r="D21">
        <v>0.3155517578125</v>
      </c>
      <c r="E21">
        <v>1.1612344203659752E-4</v>
      </c>
      <c r="F21">
        <v>-2.7423213053778817E-4</v>
      </c>
      <c r="G21">
        <v>0.31549072265625</v>
      </c>
      <c r="H21">
        <v>-7.9055652680848354E-5</v>
      </c>
      <c r="I21">
        <v>1.220703125E-4</v>
      </c>
      <c r="K21">
        <v>13</v>
      </c>
      <c r="L21">
        <v>1.78021240234375</v>
      </c>
      <c r="M21">
        <v>1.7802734375</v>
      </c>
      <c r="N21">
        <v>-1.6005691981924031E-4</v>
      </c>
      <c r="O21">
        <v>1.8762969750696357E-4</v>
      </c>
      <c r="P21">
        <v>1.780242919921875</v>
      </c>
      <c r="Q21">
        <v>1.3781268026313853E-5</v>
      </c>
      <c r="R21">
        <v>6.103515625E-5</v>
      </c>
    </row>
    <row r="22" spans="2:18" x14ac:dyDescent="0.25">
      <c r="B22">
        <v>14</v>
      </c>
      <c r="C22">
        <v>0.3154296875</v>
      </c>
      <c r="D22">
        <v>0.31549072265625</v>
      </c>
      <c r="E22">
        <v>1.1612344203659752E-4</v>
      </c>
      <c r="F22">
        <v>-7.9055652680848354E-5</v>
      </c>
      <c r="G22">
        <v>0.315460205078125</v>
      </c>
      <c r="H22">
        <v>1.8533567686329633E-5</v>
      </c>
      <c r="I22">
        <v>6.103515625E-5</v>
      </c>
      <c r="K22">
        <v>14</v>
      </c>
      <c r="L22">
        <v>1.78021240234375</v>
      </c>
      <c r="M22">
        <v>1.780242919921875</v>
      </c>
      <c r="N22">
        <v>-1.6005691981924031E-4</v>
      </c>
      <c r="O22">
        <v>1.3781268026313853E-5</v>
      </c>
      <c r="P22">
        <v>1.7802276611328125</v>
      </c>
      <c r="Q22">
        <v>-7.3139106088859762E-5</v>
      </c>
      <c r="R22">
        <v>3.0517578125E-5</v>
      </c>
    </row>
    <row r="23" spans="2:18" x14ac:dyDescent="0.25">
      <c r="B23">
        <v>15</v>
      </c>
      <c r="C23">
        <v>0.315460205078125</v>
      </c>
      <c r="D23">
        <v>0.31549072265625</v>
      </c>
      <c r="E23">
        <v>1.8533567686329633E-5</v>
      </c>
      <c r="F23">
        <v>-7.9055652680848354E-5</v>
      </c>
      <c r="G23">
        <v>0.3154754638671875</v>
      </c>
      <c r="H23">
        <v>-3.0261124259745031E-5</v>
      </c>
      <c r="I23">
        <v>3.0517578125E-5</v>
      </c>
      <c r="K23">
        <v>15</v>
      </c>
      <c r="L23">
        <v>1.7802276611328125</v>
      </c>
      <c r="M23">
        <v>1.780242919921875</v>
      </c>
      <c r="N23">
        <v>-7.3139106088859762E-5</v>
      </c>
      <c r="O23">
        <v>1.3781268026313853E-5</v>
      </c>
      <c r="P23">
        <v>1.7802352905273438</v>
      </c>
      <c r="Q23">
        <v>-2.9679239080593334E-5</v>
      </c>
      <c r="R23">
        <v>1.52587890625E-5</v>
      </c>
    </row>
    <row r="24" spans="2:18" x14ac:dyDescent="0.25">
      <c r="B24">
        <v>16</v>
      </c>
      <c r="C24">
        <v>0.315460205078125</v>
      </c>
      <c r="D24">
        <v>0.3154754638671875</v>
      </c>
      <c r="E24">
        <v>1.8533567686329633E-5</v>
      </c>
      <c r="F24">
        <v>-3.0261124259745031E-5</v>
      </c>
      <c r="G24">
        <v>0.31546783447265625</v>
      </c>
      <c r="H24">
        <v>-5.8637987254694934E-6</v>
      </c>
      <c r="I24">
        <v>1.52587890625E-5</v>
      </c>
      <c r="K24">
        <v>16</v>
      </c>
      <c r="L24">
        <v>1.7802352905273438</v>
      </c>
      <c r="M24">
        <v>1.780242919921875</v>
      </c>
      <c r="N24">
        <v>-2.9679239080593334E-5</v>
      </c>
      <c r="O24">
        <v>1.3781268026313853E-5</v>
      </c>
      <c r="P24">
        <v>1.7802391052246094</v>
      </c>
      <c r="Q24">
        <v>-7.9490655400249466E-6</v>
      </c>
      <c r="R24">
        <v>7.62939453125E-6</v>
      </c>
    </row>
    <row r="25" spans="2:18" x14ac:dyDescent="0.25">
      <c r="B25">
        <v>17</v>
      </c>
      <c r="C25">
        <v>0.315460205078125</v>
      </c>
      <c r="D25">
        <v>0.31546783447265625</v>
      </c>
      <c r="E25">
        <v>1.8533567686329633E-5</v>
      </c>
      <c r="F25">
        <v>-5.8637987254694934E-6</v>
      </c>
      <c r="G25">
        <v>0.31546401977539063</v>
      </c>
      <c r="H25">
        <v>6.3348793709616658E-6</v>
      </c>
      <c r="I25">
        <v>7.62939453125E-6</v>
      </c>
      <c r="K25">
        <v>17</v>
      </c>
      <c r="L25">
        <v>1.7802391052246094</v>
      </c>
      <c r="M25">
        <v>1.780242919921875</v>
      </c>
      <c r="N25">
        <v>-7.9490655400249466E-6</v>
      </c>
      <c r="O25">
        <v>1.3781268026313853E-5</v>
      </c>
      <c r="P25">
        <v>1.7802410125732422</v>
      </c>
      <c r="Q25">
        <v>2.9160812404782632E-6</v>
      </c>
      <c r="R25">
        <v>3.814697265625E-6</v>
      </c>
    </row>
    <row r="26" spans="2:18" x14ac:dyDescent="0.25">
      <c r="B26">
        <v>18</v>
      </c>
      <c r="C26">
        <v>0.31546401977539063</v>
      </c>
      <c r="D26">
        <v>0.31546783447265625</v>
      </c>
      <c r="E26">
        <v>6.3348793709616658E-6</v>
      </c>
      <c r="F26">
        <v>-5.8637987254694934E-6</v>
      </c>
      <c r="G26">
        <v>0.31546592712402344</v>
      </c>
      <c r="H26">
        <v>2.3553904537898518E-7</v>
      </c>
      <c r="I26">
        <v>3.814697265625E-6</v>
      </c>
      <c r="K26">
        <v>18</v>
      </c>
      <c r="L26">
        <v>1.7802391052246094</v>
      </c>
      <c r="M26">
        <v>1.7802410125732422</v>
      </c>
      <c r="N26">
        <v>-7.9490655400249466E-6</v>
      </c>
      <c r="O26">
        <v>2.9160812404782632E-6</v>
      </c>
      <c r="P26">
        <v>1.7802400588989258</v>
      </c>
      <c r="Q26">
        <v>-2.516497151106023E-6</v>
      </c>
      <c r="R26">
        <v>1.9073486328125E-6</v>
      </c>
    </row>
    <row r="27" spans="2:18" x14ac:dyDescent="0.25">
      <c r="B27">
        <v>19</v>
      </c>
      <c r="C27">
        <v>0.31546592712402344</v>
      </c>
      <c r="D27">
        <v>0.31546783447265625</v>
      </c>
      <c r="E27">
        <v>2.3553904537898518E-7</v>
      </c>
      <c r="F27">
        <v>-5.8637987254694934E-6</v>
      </c>
      <c r="G27">
        <v>0.31546688079833984</v>
      </c>
      <c r="H27">
        <v>-2.814130159345396E-6</v>
      </c>
      <c r="I27">
        <v>1.9073486328125E-6</v>
      </c>
      <c r="K27">
        <v>19</v>
      </c>
      <c r="L27">
        <v>1.7802400588989258</v>
      </c>
      <c r="M27">
        <v>1.7802410125732422</v>
      </c>
      <c r="N27">
        <v>-2.516497151106023E-6</v>
      </c>
      <c r="O27">
        <v>2.9160812404782632E-6</v>
      </c>
      <c r="P27">
        <v>1.780240535736084</v>
      </c>
      <c r="Q27">
        <v>1.9979079457499438E-7</v>
      </c>
      <c r="R27">
        <v>9.5367431640625E-7</v>
      </c>
    </row>
    <row r="28" spans="2:18" x14ac:dyDescent="0.25">
      <c r="B28">
        <v>20</v>
      </c>
      <c r="C28">
        <v>0.31546592712402344</v>
      </c>
      <c r="D28">
        <v>0.31546688079833984</v>
      </c>
      <c r="E28">
        <v>2.3553904537898518E-7</v>
      </c>
      <c r="F28">
        <v>-2.814130159345396E-6</v>
      </c>
      <c r="G28">
        <v>0.31546640396118164</v>
      </c>
      <c r="H28">
        <v>-1.2892956369192632E-6</v>
      </c>
      <c r="I28">
        <v>9.5367431640625E-7</v>
      </c>
      <c r="K28">
        <v>20</v>
      </c>
      <c r="L28">
        <v>1.7802400588989258</v>
      </c>
      <c r="M28">
        <v>1.780240535736084</v>
      </c>
      <c r="N28">
        <v>-2.516497151106023E-6</v>
      </c>
      <c r="O28">
        <v>1.9979079457499438E-7</v>
      </c>
      <c r="P28">
        <v>1.7802402973175049</v>
      </c>
      <c r="Q28">
        <v>-1.1583534913484073E-6</v>
      </c>
      <c r="R28">
        <v>4.76837158203125E-7</v>
      </c>
    </row>
    <row r="29" spans="2:18" x14ac:dyDescent="0.25">
      <c r="B29">
        <v>21</v>
      </c>
      <c r="C29">
        <v>0.31546592712402344</v>
      </c>
      <c r="D29">
        <v>0.31546640396118164</v>
      </c>
      <c r="E29">
        <v>2.3553904537898518E-7</v>
      </c>
      <c r="F29">
        <v>-1.2892956369192632E-6</v>
      </c>
      <c r="G29">
        <v>0.31546616554260254</v>
      </c>
      <c r="H29">
        <v>-5.2687831564313115E-7</v>
      </c>
      <c r="I29">
        <v>4.76837158203125E-7</v>
      </c>
      <c r="K29">
        <v>21</v>
      </c>
      <c r="L29">
        <v>1.7802402973175049</v>
      </c>
      <c r="M29">
        <v>1.780240535736084</v>
      </c>
      <c r="N29">
        <v>-1.1583534913484073E-6</v>
      </c>
      <c r="O29">
        <v>1.9979079457499438E-7</v>
      </c>
      <c r="P29">
        <v>1.7802404165267944</v>
      </c>
      <c r="Q29">
        <v>-4.7928142610231816E-7</v>
      </c>
      <c r="R29">
        <v>2.384185791015625E-7</v>
      </c>
    </row>
    <row r="30" spans="2:18" x14ac:dyDescent="0.25">
      <c r="B30">
        <v>22</v>
      </c>
      <c r="C30">
        <v>0.31546592712402344</v>
      </c>
      <c r="D30">
        <v>0.31546616554260254</v>
      </c>
      <c r="E30">
        <v>2.3553904537898518E-7</v>
      </c>
      <c r="F30">
        <v>-5.2687831564313115E-7</v>
      </c>
      <c r="G30">
        <v>0.31546604633331299</v>
      </c>
      <c r="H30">
        <v>-1.4566964012807659E-7</v>
      </c>
      <c r="I30">
        <v>2.384185791015625E-7</v>
      </c>
      <c r="K30">
        <v>22</v>
      </c>
      <c r="L30">
        <v>1.7802404165267944</v>
      </c>
      <c r="M30">
        <v>1.780240535736084</v>
      </c>
      <c r="N30">
        <v>-4.7928142610231816E-7</v>
      </c>
      <c r="O30">
        <v>1.9979079457499438E-7</v>
      </c>
      <c r="P30">
        <v>1.7802404761314392</v>
      </c>
      <c r="Q30">
        <v>-1.3974533530358713E-7</v>
      </c>
      <c r="R30">
        <v>1.1920928955078125E-7</v>
      </c>
    </row>
    <row r="31" spans="2:18" x14ac:dyDescent="0.25">
      <c r="B31">
        <v>23</v>
      </c>
      <c r="C31">
        <v>0.31546592712402344</v>
      </c>
      <c r="D31">
        <v>0.31546604633331299</v>
      </c>
      <c r="E31">
        <v>2.3553904537898518E-7</v>
      </c>
      <c r="F31">
        <v>-1.4566964012807659E-7</v>
      </c>
      <c r="G31">
        <v>0.31546598672866821</v>
      </c>
      <c r="H31">
        <v>4.4934701293186663E-8</v>
      </c>
      <c r="I31">
        <v>1.1920928955078125E-7</v>
      </c>
      <c r="K31">
        <v>23</v>
      </c>
      <c r="L31">
        <v>1.7802404761314392</v>
      </c>
      <c r="M31">
        <v>1.780240535736084</v>
      </c>
      <c r="N31">
        <v>-1.3974533530358713E-7</v>
      </c>
      <c r="O31">
        <v>1.9979079457499438E-7</v>
      </c>
      <c r="P31">
        <v>1.7802405059337616</v>
      </c>
      <c r="Q31">
        <v>3.0022724750722318E-8</v>
      </c>
      <c r="R31">
        <v>5.9604644775390625E-8</v>
      </c>
    </row>
    <row r="32" spans="2:18" x14ac:dyDescent="0.25">
      <c r="B32">
        <v>24</v>
      </c>
      <c r="C32">
        <v>0.31546598672866821</v>
      </c>
      <c r="D32">
        <v>0.31546604633331299</v>
      </c>
      <c r="E32">
        <v>4.4934701293186663E-8</v>
      </c>
      <c r="F32">
        <v>-1.4566964012807659E-7</v>
      </c>
      <c r="G32">
        <v>0.3154660165309906</v>
      </c>
      <c r="H32">
        <v>-5.0367469750511873E-8</v>
      </c>
      <c r="I32">
        <v>5.9604644775390625E-8</v>
      </c>
      <c r="K32">
        <v>24</v>
      </c>
      <c r="L32">
        <v>1.7802404761314392</v>
      </c>
      <c r="M32">
        <v>1.7802405059337616</v>
      </c>
      <c r="N32">
        <v>-1.3974533530358713E-7</v>
      </c>
      <c r="O32">
        <v>3.0022724750722318E-8</v>
      </c>
      <c r="P32">
        <v>1.7802404910326004</v>
      </c>
      <c r="Q32">
        <v>-5.4861307496878453E-8</v>
      </c>
      <c r="R32">
        <v>2.9802322387695313E-8</v>
      </c>
    </row>
    <row r="33" spans="2:18" x14ac:dyDescent="0.25">
      <c r="B33">
        <v>25</v>
      </c>
      <c r="C33">
        <v>0.31546598672866821</v>
      </c>
      <c r="D33">
        <v>0.3154660165309906</v>
      </c>
      <c r="E33">
        <v>4.4934701293186663E-8</v>
      </c>
      <c r="F33">
        <v>-5.0367469750511873E-8</v>
      </c>
      <c r="G33">
        <v>0.31546600162982941</v>
      </c>
      <c r="H33">
        <v>-2.716384228662605E-9</v>
      </c>
      <c r="I33">
        <v>2.9802322387695313E-8</v>
      </c>
      <c r="K33">
        <v>25</v>
      </c>
      <c r="L33">
        <v>1.7802404910326004</v>
      </c>
      <c r="M33">
        <v>1.7802405059337616</v>
      </c>
      <c r="N33">
        <v>-5.4861307496878453E-8</v>
      </c>
      <c r="O33">
        <v>3.0022724750722318E-8</v>
      </c>
      <c r="P33">
        <v>1.780240498483181</v>
      </c>
      <c r="Q33">
        <v>-1.2419291373078067E-8</v>
      </c>
      <c r="R33">
        <v>1.4901161193847656E-8</v>
      </c>
    </row>
    <row r="34" spans="2:18" x14ac:dyDescent="0.25">
      <c r="B34">
        <v>26</v>
      </c>
      <c r="C34">
        <v>0.31546598672866821</v>
      </c>
      <c r="D34">
        <v>0.31546600162982941</v>
      </c>
      <c r="E34">
        <v>4.4934701293186663E-8</v>
      </c>
      <c r="F34">
        <v>-2.716384228662605E-9</v>
      </c>
      <c r="G34">
        <v>0.31546599417924881</v>
      </c>
      <c r="H34">
        <v>2.1109158532262029E-8</v>
      </c>
      <c r="I34">
        <v>1.4901161193847656E-8</v>
      </c>
      <c r="K34">
        <v>26</v>
      </c>
      <c r="L34">
        <v>1.780240498483181</v>
      </c>
      <c r="M34">
        <v>1.7802405059337616</v>
      </c>
      <c r="N34">
        <v>-1.2419291373078067E-8</v>
      </c>
      <c r="O34">
        <v>3.0022724750722318E-8</v>
      </c>
      <c r="P34">
        <v>1.7802405022084713</v>
      </c>
      <c r="Q34">
        <v>8.8017166888221254E-9</v>
      </c>
      <c r="R34">
        <v>7.4505805969238281E-9</v>
      </c>
    </row>
    <row r="35" spans="2:18" x14ac:dyDescent="0.25">
      <c r="B35">
        <v>27</v>
      </c>
      <c r="C35">
        <v>0.31546599417924881</v>
      </c>
      <c r="D35">
        <v>0.31546600162982941</v>
      </c>
      <c r="E35">
        <v>2.1109158532262029E-8</v>
      </c>
      <c r="F35">
        <v>-2.716384228662605E-9</v>
      </c>
      <c r="G35">
        <v>0.31546599790453911</v>
      </c>
      <c r="H35">
        <v>9.1963870962885608E-9</v>
      </c>
      <c r="I35">
        <v>7.4505805969238281E-9</v>
      </c>
      <c r="K35">
        <v>27</v>
      </c>
      <c r="L35">
        <v>1.780240498483181</v>
      </c>
      <c r="M35">
        <v>1.7802405022084713</v>
      </c>
      <c r="N35">
        <v>-1.2419291373078067E-8</v>
      </c>
      <c r="O35">
        <v>8.8017166888221254E-9</v>
      </c>
      <c r="P35">
        <v>1.7802405003458261</v>
      </c>
      <c r="Q35">
        <v>-1.8087877862171808E-9</v>
      </c>
      <c r="R35">
        <v>3.7252902984619141E-9</v>
      </c>
    </row>
    <row r="36" spans="2:18" x14ac:dyDescent="0.25">
      <c r="B36">
        <v>28</v>
      </c>
      <c r="C36">
        <v>0.31546599790453911</v>
      </c>
      <c r="D36">
        <v>0.31546600162982941</v>
      </c>
      <c r="E36">
        <v>9.1963870962885608E-9</v>
      </c>
      <c r="F36">
        <v>-2.716384228662605E-9</v>
      </c>
      <c r="G36">
        <v>0.31546599976718426</v>
      </c>
      <c r="H36">
        <v>3.2400013783018267E-9</v>
      </c>
      <c r="I36">
        <v>3.7252902984619141E-9</v>
      </c>
    </row>
    <row r="39" spans="2:18" ht="18.75" x14ac:dyDescent="0.25">
      <c r="B39" s="3" t="s">
        <v>44</v>
      </c>
      <c r="C39" s="3"/>
      <c r="D39" s="3"/>
      <c r="E39" s="3"/>
      <c r="F39" s="3"/>
      <c r="G39" s="3"/>
      <c r="H39" s="3"/>
      <c r="I39" s="3"/>
      <c r="K39" s="3" t="s">
        <v>52</v>
      </c>
      <c r="L39" s="3"/>
      <c r="M39" s="3"/>
      <c r="N39" s="3"/>
      <c r="O39" s="3"/>
      <c r="P39" s="3"/>
      <c r="Q39" s="3"/>
      <c r="R39" s="3"/>
    </row>
    <row r="40" spans="2:18" x14ac:dyDescent="0.25">
      <c r="B40" s="21" t="s">
        <v>39</v>
      </c>
      <c r="C40" s="21"/>
      <c r="D40" s="21"/>
      <c r="K40" s="11" t="s">
        <v>39</v>
      </c>
      <c r="L40" s="11"/>
      <c r="M40" s="11"/>
    </row>
    <row r="41" spans="2:18" x14ac:dyDescent="0.25">
      <c r="B41" s="21" t="s">
        <v>45</v>
      </c>
      <c r="C41" s="21"/>
      <c r="D41" s="21"/>
      <c r="K41" s="11" t="s">
        <v>45</v>
      </c>
      <c r="L41" s="11"/>
      <c r="M41" s="11"/>
    </row>
    <row r="42" spans="2:18" x14ac:dyDescent="0.25">
      <c r="B42" s="21" t="s">
        <v>46</v>
      </c>
      <c r="C42" s="21"/>
      <c r="D42" s="21"/>
      <c r="K42" s="11" t="s">
        <v>53</v>
      </c>
      <c r="L42" s="11"/>
      <c r="M42" s="11"/>
    </row>
    <row r="43" spans="2:18" x14ac:dyDescent="0.25">
      <c r="B43" s="21" t="s">
        <v>41</v>
      </c>
      <c r="C43" s="21"/>
      <c r="D43" s="21"/>
      <c r="K43" s="11" t="s">
        <v>41</v>
      </c>
      <c r="L43" s="11"/>
      <c r="M43" s="11"/>
    </row>
    <row r="45" spans="2:18" x14ac:dyDescent="0.25">
      <c r="B45" s="8" t="s">
        <v>3</v>
      </c>
      <c r="C45" s="8" t="s">
        <v>14</v>
      </c>
      <c r="D45" s="8" t="s">
        <v>15</v>
      </c>
      <c r="E45" s="8" t="s">
        <v>16</v>
      </c>
      <c r="F45" s="8" t="s">
        <v>17</v>
      </c>
      <c r="G45" s="8" t="s">
        <v>18</v>
      </c>
      <c r="H45" s="22"/>
      <c r="K45" s="12" t="s">
        <v>3</v>
      </c>
      <c r="L45" s="12" t="s">
        <v>14</v>
      </c>
      <c r="M45" s="12" t="s">
        <v>15</v>
      </c>
      <c r="N45" s="12" t="s">
        <v>16</v>
      </c>
      <c r="O45" s="12" t="s">
        <v>17</v>
      </c>
      <c r="P45" s="12" t="s">
        <v>18</v>
      </c>
    </row>
    <row r="46" spans="2:18" x14ac:dyDescent="0.25">
      <c r="B46">
        <v>0</v>
      </c>
      <c r="C46">
        <v>0.5</v>
      </c>
      <c r="D46">
        <v>-0.56970019576785114</v>
      </c>
      <c r="E46">
        <v>-2.9314506851874791</v>
      </c>
      <c r="F46">
        <v>0.30565929399852199</v>
      </c>
      <c r="G46">
        <v>0.19434070600147801</v>
      </c>
      <c r="K46">
        <v>0</v>
      </c>
      <c r="L46">
        <v>1.8</v>
      </c>
      <c r="M46">
        <v>0.11471430244045955</v>
      </c>
      <c r="N46">
        <v>5.9149920737136146</v>
      </c>
      <c r="O46">
        <v>1.7806061781637454</v>
      </c>
      <c r="P46">
        <v>1.9393821836254599E-2</v>
      </c>
    </row>
    <row r="47" spans="2:18" x14ac:dyDescent="0.25">
      <c r="B47">
        <v>1</v>
      </c>
      <c r="C47">
        <v>0.30565929399852199</v>
      </c>
      <c r="D47">
        <v>3.1392470773618286E-2</v>
      </c>
      <c r="E47">
        <v>-3.2043038796807681</v>
      </c>
      <c r="F47">
        <v>0.31545626455823861</v>
      </c>
      <c r="G47">
        <v>9.7969705597166223E-3</v>
      </c>
      <c r="K47">
        <v>1</v>
      </c>
      <c r="L47">
        <v>1.7806061781637454</v>
      </c>
      <c r="M47">
        <v>2.0838065532355898E-3</v>
      </c>
      <c r="N47">
        <v>5.7004926573835668</v>
      </c>
      <c r="O47">
        <v>1.780240629661453</v>
      </c>
      <c r="P47">
        <v>3.6554850229242319E-4</v>
      </c>
    </row>
    <row r="48" spans="2:18" x14ac:dyDescent="0.25">
      <c r="B48">
        <v>2</v>
      </c>
      <c r="C48">
        <v>0.31545626455823861</v>
      </c>
      <c r="D48">
        <v>3.113462393733446E-5</v>
      </c>
      <c r="E48">
        <v>-3.1978170561237667</v>
      </c>
      <c r="F48">
        <v>0.31546600076997022</v>
      </c>
      <c r="G48">
        <v>9.7362117316146524E-6</v>
      </c>
      <c r="K48">
        <v>2</v>
      </c>
      <c r="L48">
        <v>1.780240629661453</v>
      </c>
      <c r="M48">
        <v>7.3483401319407449E-7</v>
      </c>
      <c r="N48">
        <v>5.6964723516064684</v>
      </c>
      <c r="O48">
        <v>1.7802405006633699</v>
      </c>
      <c r="P48">
        <v>1.289980831042925E-7</v>
      </c>
    </row>
    <row r="49" spans="2:17" x14ac:dyDescent="0.25">
      <c r="B49">
        <v>3</v>
      </c>
      <c r="C49">
        <v>0.31546600076997022</v>
      </c>
      <c r="D49">
        <v>3.3282265832212943E-11</v>
      </c>
      <c r="E49">
        <v>-3.19781021919554</v>
      </c>
      <c r="F49">
        <v>0.31546600078037806</v>
      </c>
      <c r="G49">
        <v>1.0407841255499761E-11</v>
      </c>
      <c r="K49">
        <v>3</v>
      </c>
      <c r="L49">
        <v>1.7802405006633699</v>
      </c>
      <c r="M49">
        <v>9.0594198809412774E-14</v>
      </c>
      <c r="N49">
        <v>5.6964709330329111</v>
      </c>
      <c r="O49">
        <v>1.7802405006633539</v>
      </c>
      <c r="P49">
        <v>1.5987211554602254E-14</v>
      </c>
    </row>
    <row r="50" spans="2:17" x14ac:dyDescent="0.25">
      <c r="B50">
        <v>4</v>
      </c>
      <c r="C50">
        <v>0.31546600078037806</v>
      </c>
      <c r="D50">
        <v>0</v>
      </c>
      <c r="E50">
        <v>-3.1978102191882312</v>
      </c>
      <c r="F50">
        <v>0.31546600078037806</v>
      </c>
      <c r="G50">
        <v>0</v>
      </c>
      <c r="K50">
        <v>4</v>
      </c>
      <c r="L50">
        <v>1.7802405006633539</v>
      </c>
      <c r="M50">
        <v>0</v>
      </c>
      <c r="N50">
        <v>5.696470933032737</v>
      </c>
      <c r="O50">
        <v>1.7802405006633539</v>
      </c>
      <c r="P50">
        <v>0</v>
      </c>
    </row>
    <row r="53" spans="2:17" ht="18.75" x14ac:dyDescent="0.25">
      <c r="B53" s="3" t="s">
        <v>47</v>
      </c>
      <c r="C53" s="3"/>
      <c r="D53" s="3"/>
      <c r="E53" s="3"/>
      <c r="F53" s="3"/>
      <c r="G53" s="3"/>
      <c r="H53" s="3"/>
      <c r="I53" s="3"/>
      <c r="K53" s="3" t="s">
        <v>54</v>
      </c>
      <c r="L53" s="3"/>
      <c r="M53" s="3"/>
      <c r="N53" s="3"/>
      <c r="O53" s="3"/>
      <c r="P53" s="3"/>
    </row>
    <row r="54" spans="2:17" x14ac:dyDescent="0.25">
      <c r="B54" s="14" t="s">
        <v>48</v>
      </c>
      <c r="C54" s="14"/>
      <c r="D54" s="14"/>
      <c r="K54" s="25" t="s">
        <v>48</v>
      </c>
      <c r="L54" s="25"/>
      <c r="M54" s="25"/>
    </row>
    <row r="55" spans="2:17" x14ac:dyDescent="0.25">
      <c r="B55" s="14" t="s">
        <v>49</v>
      </c>
      <c r="C55" s="14"/>
      <c r="D55" s="14"/>
      <c r="K55" s="25" t="s">
        <v>55</v>
      </c>
      <c r="L55" s="25"/>
      <c r="M55" s="25"/>
    </row>
    <row r="56" spans="2:17" x14ac:dyDescent="0.25">
      <c r="B56" s="14" t="s">
        <v>50</v>
      </c>
      <c r="C56" s="14"/>
      <c r="D56" s="14"/>
      <c r="K56" s="25" t="s">
        <v>41</v>
      </c>
      <c r="L56" s="25"/>
      <c r="M56" s="25"/>
    </row>
    <row r="58" spans="2:17" x14ac:dyDescent="0.25">
      <c r="B58" s="15" t="s">
        <v>3</v>
      </c>
      <c r="C58" s="15" t="s">
        <v>20</v>
      </c>
      <c r="D58" s="15" t="s">
        <v>14</v>
      </c>
      <c r="E58" s="15" t="s">
        <v>21</v>
      </c>
      <c r="F58" s="15" t="s">
        <v>15</v>
      </c>
      <c r="G58" s="15" t="s">
        <v>22</v>
      </c>
      <c r="H58" s="15" t="s">
        <v>18</v>
      </c>
      <c r="K58" s="26" t="s">
        <v>3</v>
      </c>
      <c r="L58" s="26" t="s">
        <v>20</v>
      </c>
      <c r="M58" s="26" t="s">
        <v>14</v>
      </c>
      <c r="N58" s="26" t="s">
        <v>21</v>
      </c>
      <c r="O58" s="26" t="s">
        <v>15</v>
      </c>
      <c r="P58" s="26" t="s">
        <v>22</v>
      </c>
      <c r="Q58" s="26" t="s">
        <v>18</v>
      </c>
    </row>
    <row r="59" spans="2:17" x14ac:dyDescent="0.25">
      <c r="B59">
        <v>0</v>
      </c>
      <c r="C59">
        <v>0</v>
      </c>
      <c r="D59">
        <v>0.5</v>
      </c>
      <c r="E59">
        <v>1</v>
      </c>
      <c r="F59">
        <v>-0.56970019576785114</v>
      </c>
      <c r="G59">
        <v>0.31853216387949468</v>
      </c>
      <c r="H59">
        <v>0.18146783612050532</v>
      </c>
      <c r="K59">
        <v>0</v>
      </c>
      <c r="L59">
        <v>1.7</v>
      </c>
      <c r="M59">
        <v>1.9</v>
      </c>
      <c r="N59">
        <v>-0.42222915333182032</v>
      </c>
      <c r="O59">
        <v>0.76286490532925022</v>
      </c>
      <c r="P59">
        <v>1.7712566484062637</v>
      </c>
      <c r="Q59">
        <v>0.12874335159373618</v>
      </c>
    </row>
    <row r="60" spans="2:17" x14ac:dyDescent="0.25">
      <c r="B60">
        <v>1</v>
      </c>
      <c r="C60">
        <v>0.5</v>
      </c>
      <c r="D60">
        <v>0.31853216387949468</v>
      </c>
      <c r="E60">
        <v>-0.56970019576785114</v>
      </c>
      <c r="F60">
        <v>-9.8016673746958993E-3</v>
      </c>
      <c r="G60">
        <v>0.31535536080061599</v>
      </c>
      <c r="H60">
        <v>3.1768030788786872E-3</v>
      </c>
      <c r="K60">
        <v>1</v>
      </c>
      <c r="L60">
        <v>1.9</v>
      </c>
      <c r="M60">
        <v>1.7712566484062637</v>
      </c>
      <c r="N60">
        <v>0.76286490532925022</v>
      </c>
      <c r="O60">
        <v>-5.0733238522699509E-2</v>
      </c>
      <c r="P60">
        <v>1.7792846499620358</v>
      </c>
      <c r="Q60">
        <v>8.0280015557721018E-3</v>
      </c>
    </row>
    <row r="61" spans="2:17" x14ac:dyDescent="0.25">
      <c r="B61">
        <v>2</v>
      </c>
      <c r="C61">
        <v>0.31853216387949468</v>
      </c>
      <c r="D61">
        <v>0.31535536080061599</v>
      </c>
      <c r="E61">
        <v>-9.8016673746958993E-3</v>
      </c>
      <c r="F61">
        <v>3.5380995432121587E-4</v>
      </c>
      <c r="G61">
        <v>0.31546603846901217</v>
      </c>
      <c r="H61">
        <v>1.1067766839617521E-4</v>
      </c>
      <c r="K61">
        <v>2</v>
      </c>
      <c r="L61">
        <v>1.7712566484062637</v>
      </c>
      <c r="M61">
        <v>1.7792846499620358</v>
      </c>
      <c r="N61">
        <v>-5.0733238522699509E-2</v>
      </c>
      <c r="O61">
        <v>-5.4399530106792326E-3</v>
      </c>
      <c r="P61">
        <v>1.7802488536125189</v>
      </c>
      <c r="Q61">
        <v>9.6420365048310863E-4</v>
      </c>
    </row>
    <row r="62" spans="2:17" x14ac:dyDescent="0.25">
      <c r="B62">
        <v>3</v>
      </c>
      <c r="C62">
        <v>0.31535536080061599</v>
      </c>
      <c r="D62">
        <v>0.31546603846901217</v>
      </c>
      <c r="E62">
        <v>3.5380995432121587E-4</v>
      </c>
      <c r="F62">
        <v>-1.2052109887861207E-7</v>
      </c>
      <c r="G62">
        <v>0.3154660007808357</v>
      </c>
      <c r="H62">
        <v>3.7688176468542167E-8</v>
      </c>
      <c r="K62">
        <v>3</v>
      </c>
      <c r="L62">
        <v>1.7792846499620358</v>
      </c>
      <c r="M62">
        <v>1.7802488536125189</v>
      </c>
      <c r="N62">
        <v>-5.4399530106792326E-3</v>
      </c>
      <c r="O62">
        <v>4.7582715759553196E-5</v>
      </c>
      <c r="P62">
        <v>1.7802404929510995</v>
      </c>
      <c r="Q62">
        <v>8.3606614194042805E-6</v>
      </c>
    </row>
    <row r="63" spans="2:17" x14ac:dyDescent="0.25">
      <c r="B63">
        <v>4</v>
      </c>
      <c r="C63">
        <v>0.31546603846901217</v>
      </c>
      <c r="D63">
        <v>0.3154660007808357</v>
      </c>
      <c r="E63">
        <v>-1.2052109887861207E-7</v>
      </c>
      <c r="F63">
        <v>-1.4634959910608814E-12</v>
      </c>
      <c r="G63">
        <v>0.31546600078037806</v>
      </c>
      <c r="H63">
        <v>4.5763393075048953E-13</v>
      </c>
      <c r="K63">
        <v>4</v>
      </c>
      <c r="L63">
        <v>1.7802488536125189</v>
      </c>
      <c r="M63">
        <v>1.7802404929510995</v>
      </c>
      <c r="N63">
        <v>4.7582715759553196E-5</v>
      </c>
      <c r="O63">
        <v>-4.393263264290681E-8</v>
      </c>
      <c r="P63">
        <v>1.7802405006632918</v>
      </c>
      <c r="Q63">
        <v>7.7121922181788705E-9</v>
      </c>
    </row>
    <row r="64" spans="2:17" x14ac:dyDescent="0.25">
      <c r="B64">
        <v>5</v>
      </c>
      <c r="C64">
        <v>0.3154660007808357</v>
      </c>
      <c r="D64">
        <v>0.31546600078037806</v>
      </c>
      <c r="E64">
        <v>-1.4634959910608814E-12</v>
      </c>
      <c r="F64">
        <v>0</v>
      </c>
      <c r="G64">
        <v>0.31546600078037806</v>
      </c>
      <c r="H64">
        <v>0</v>
      </c>
      <c r="K64">
        <v>5</v>
      </c>
      <c r="L64">
        <v>1.7802404929510995</v>
      </c>
      <c r="M64">
        <v>1.7802405006632918</v>
      </c>
      <c r="N64">
        <v>-4.393263264290681E-8</v>
      </c>
      <c r="O64">
        <v>-3.5527136788005009E-13</v>
      </c>
      <c r="P64">
        <v>1.7802405006633542</v>
      </c>
      <c r="Q64">
        <v>6.2394533983933798E-14</v>
      </c>
    </row>
    <row r="65" spans="11:17" x14ac:dyDescent="0.25">
      <c r="K65">
        <v>6</v>
      </c>
      <c r="L65">
        <v>1.7802405006632918</v>
      </c>
      <c r="M65">
        <v>1.7802405006633542</v>
      </c>
      <c r="N65">
        <v>-3.5527136788005009E-13</v>
      </c>
      <c r="O65">
        <v>1.7763568394002505E-15</v>
      </c>
      <c r="P65">
        <v>1.7802405006633539</v>
      </c>
      <c r="Q65">
        <v>2.2204460492503131E-16</v>
      </c>
    </row>
    <row r="66" spans="11:17" x14ac:dyDescent="0.25">
      <c r="K66">
        <v>7</v>
      </c>
      <c r="L66">
        <v>1.7802405006633542</v>
      </c>
      <c r="M66">
        <v>1.7802405006633539</v>
      </c>
      <c r="N66">
        <v>1.7763568394002505E-15</v>
      </c>
      <c r="O66">
        <v>0</v>
      </c>
      <c r="P66">
        <v>1.7802405006633539</v>
      </c>
      <c r="Q66">
        <v>0</v>
      </c>
    </row>
  </sheetData>
  <mergeCells count="26">
    <mergeCell ref="K53:P53"/>
    <mergeCell ref="K54:M54"/>
    <mergeCell ref="K55:M55"/>
    <mergeCell ref="K56:M56"/>
    <mergeCell ref="B56:D56"/>
    <mergeCell ref="K2:R2"/>
    <mergeCell ref="K3:M3"/>
    <mergeCell ref="K4:M4"/>
    <mergeCell ref="K5:M5"/>
    <mergeCell ref="K39:R39"/>
    <mergeCell ref="K40:M40"/>
    <mergeCell ref="K41:M41"/>
    <mergeCell ref="K42:M42"/>
    <mergeCell ref="K43:M43"/>
    <mergeCell ref="B41:D41"/>
    <mergeCell ref="B42:D42"/>
    <mergeCell ref="B43:D43"/>
    <mergeCell ref="B53:I53"/>
    <mergeCell ref="B54:D54"/>
    <mergeCell ref="B55:D55"/>
    <mergeCell ref="B2:I2"/>
    <mergeCell ref="B3:D3"/>
    <mergeCell ref="B4:D4"/>
    <mergeCell ref="B5:D5"/>
    <mergeCell ref="B39:I39"/>
    <mergeCell ref="B40:D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1790-D41D-4A5A-BA95-8020715EA243}">
  <dimension ref="B2:F19"/>
  <sheetViews>
    <sheetView tabSelected="1" workbookViewId="0">
      <selection activeCell="D23" sqref="D23"/>
    </sheetView>
  </sheetViews>
  <sheetFormatPr baseColWidth="10" defaultRowHeight="15" x14ac:dyDescent="0.25"/>
  <cols>
    <col min="2" max="2" width="16.7109375" customWidth="1"/>
    <col min="3" max="3" width="35.140625" customWidth="1"/>
  </cols>
  <sheetData>
    <row r="2" spans="2:6" ht="18.75" x14ac:dyDescent="0.25">
      <c r="B2" s="3" t="s">
        <v>56</v>
      </c>
      <c r="C2" s="3"/>
      <c r="D2" s="3"/>
      <c r="E2" s="3"/>
      <c r="F2" s="3"/>
    </row>
    <row r="3" spans="2:6" x14ac:dyDescent="0.25">
      <c r="B3" s="21" t="s">
        <v>57</v>
      </c>
      <c r="C3" s="21"/>
      <c r="D3" s="21"/>
      <c r="E3" s="21"/>
    </row>
    <row r="4" spans="2:6" x14ac:dyDescent="0.25">
      <c r="B4" s="21" t="s">
        <v>58</v>
      </c>
      <c r="C4" s="21"/>
      <c r="D4" s="21"/>
      <c r="E4" s="21"/>
    </row>
    <row r="5" spans="2:6" x14ac:dyDescent="0.25">
      <c r="B5" s="21" t="s">
        <v>59</v>
      </c>
      <c r="C5" s="21"/>
      <c r="D5" s="21"/>
      <c r="E5" s="21"/>
    </row>
    <row r="7" spans="2:6" x14ac:dyDescent="0.25">
      <c r="B7" s="1" t="s">
        <v>32</v>
      </c>
      <c r="C7" s="1" t="s">
        <v>33</v>
      </c>
      <c r="D7" s="1" t="s">
        <v>34</v>
      </c>
    </row>
    <row r="8" spans="2:6" x14ac:dyDescent="0.25">
      <c r="B8">
        <v>-10</v>
      </c>
      <c r="C8">
        <f>(COS(B8))^2 - 0.5*B8*EXP(0.3*B8) + 5</f>
        <v>5.9529763727460159</v>
      </c>
      <c r="D8" t="str">
        <f>IF(C8=0, "SÍ", "NO")</f>
        <v>NO</v>
      </c>
    </row>
    <row r="9" spans="2:6" x14ac:dyDescent="0.25">
      <c r="B9">
        <v>-5</v>
      </c>
      <c r="C9">
        <f>(COS(B9))^2 - 0.5*B9*EXP(0.3*B9) + 5</f>
        <v>5.638289635832848</v>
      </c>
      <c r="D9" t="str">
        <f>IF(C9=0, "SÍ", "NO")</f>
        <v>NO</v>
      </c>
    </row>
    <row r="10" spans="2:6" x14ac:dyDescent="0.25">
      <c r="B10">
        <v>-2</v>
      </c>
      <c r="C10">
        <f>(COS(B10))^2 - 0.5*B10*EXP(0.3*B10) + 5</f>
        <v>5.7219898256622201</v>
      </c>
      <c r="D10" t="str">
        <f>IF(C10=0, "SÍ", "NO")</f>
        <v>NO</v>
      </c>
    </row>
    <row r="11" spans="2:6" x14ac:dyDescent="0.25">
      <c r="B11">
        <v>-1</v>
      </c>
      <c r="C11">
        <f>(COS(B11))^2 - 0.5*B11*EXP(0.3*B11) + 5</f>
        <v>5.6623356920672876</v>
      </c>
      <c r="D11" t="str">
        <f>IF(C11=0, "SÍ", "NO")</f>
        <v>NO</v>
      </c>
    </row>
    <row r="12" spans="2:6" x14ac:dyDescent="0.25">
      <c r="B12">
        <v>0</v>
      </c>
      <c r="C12">
        <f>(COS(B12))^2 - 0.5*B12*EXP(0.3*B12) + 5</f>
        <v>6</v>
      </c>
      <c r="D12" t="str">
        <f>IF(C12=0, "SÍ", "NO")</f>
        <v>NO</v>
      </c>
    </row>
    <row r="13" spans="2:6" x14ac:dyDescent="0.25">
      <c r="B13">
        <v>1</v>
      </c>
      <c r="C13">
        <f t="shared" ref="C13:C17" si="0">(COS(B13))^2 - 0.5*B13*EXP(0.3*B13) + 5</f>
        <v>4.6169971779384271</v>
      </c>
      <c r="D13" t="str">
        <f t="shared" ref="D13:D17" si="1">IF(C13=0, "SÍ", "NO")</f>
        <v>NO</v>
      </c>
    </row>
    <row r="14" spans="2:6" x14ac:dyDescent="0.25">
      <c r="B14">
        <v>2</v>
      </c>
      <c r="C14">
        <f t="shared" si="0"/>
        <v>3.351059389177685</v>
      </c>
      <c r="D14" t="str">
        <f t="shared" si="1"/>
        <v>NO</v>
      </c>
    </row>
    <row r="15" spans="2:6" x14ac:dyDescent="0.25">
      <c r="B15">
        <v>5</v>
      </c>
      <c r="C15">
        <f t="shared" si="0"/>
        <v>-6.1237584403833871</v>
      </c>
      <c r="D15" t="str">
        <f t="shared" si="1"/>
        <v>NO</v>
      </c>
    </row>
    <row r="16" spans="2:6" x14ac:dyDescent="0.25">
      <c r="B16">
        <v>10</v>
      </c>
      <c r="C16">
        <f t="shared" si="0"/>
        <v>-94.723643585031652</v>
      </c>
      <c r="D16" t="str">
        <f t="shared" si="1"/>
        <v>NO</v>
      </c>
    </row>
    <row r="17" spans="2:4" x14ac:dyDescent="0.25">
      <c r="B17">
        <v>20</v>
      </c>
      <c r="C17">
        <f t="shared" si="0"/>
        <v>-4029.1214039581773</v>
      </c>
      <c r="D17" t="str">
        <f t="shared" si="1"/>
        <v>NO</v>
      </c>
    </row>
    <row r="19" spans="2:4" x14ac:dyDescent="0.25">
      <c r="B19" s="28" t="s">
        <v>35</v>
      </c>
      <c r="C19" s="27" t="str">
        <f>IF(COUNTIF(D8:D17,"SÍ")&gt;0, "TIENE RAÍCES", "NO TIENE RAÍCES REALES")</f>
        <v>NO TIENE RAÍCES REALES</v>
      </c>
    </row>
  </sheetData>
  <mergeCells count="4">
    <mergeCell ref="B2:F2"/>
    <mergeCell ref="B3:E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ECUACION1</vt:lpstr>
      <vt:lpstr>ECUACION2</vt:lpstr>
      <vt:lpstr>ECUACION3</vt:lpstr>
      <vt:lpstr>ECUACION4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2025-12-01T02:35:16Z</dcterms:created>
  <dcterms:modified xsi:type="dcterms:W3CDTF">2025-12-01T03:50:32Z</dcterms:modified>
</cp:coreProperties>
</file>